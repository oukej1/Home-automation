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3"/>
  </sheets>
  <definedNames>
    <definedName function="false" hidden="false" localSheetId="0" name="_xlnm.Print_Titles" vbProcedure="false">List1!$26:$26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<sst xmlns="http://schemas.openxmlformats.org/spreadsheetml/2006/main" count="367" uniqueCount="245">
  <si>
    <t xml:space="preserve">CENOVÁ INFORMACE </t>
  </si>
  <si>
    <t xml:space="preserve">Návrh proveden programem E-CONFIG 3.13.30. Databáze 2025.03.01, platnost dat od 01.03.2025</t>
  </si>
  <si>
    <t xml:space="preserve">Zpracoval:</t>
  </si>
  <si>
    <t xml:space="preserve">Příjemce materiálu:</t>
  </si>
  <si>
    <t xml:space="preserve">Elprojekt</t>
  </si>
  <si>
    <t xml:space="preserve">Poděbradova 4</t>
  </si>
  <si>
    <t xml:space="preserve">741 01 Nový Jičín</t>
  </si>
  <si>
    <t xml:space="preserve"> </t>
  </si>
  <si>
    <t xml:space="preserve">IČO: </t>
  </si>
  <si>
    <t xml:space="preserve">DIČ: </t>
  </si>
  <si>
    <t xml:space="preserve">Banka: </t>
  </si>
  <si>
    <t xml:space="preserve">Číslo účtu: </t>
  </si>
  <si>
    <t xml:space="preserve">Pavel Šupík</t>
  </si>
  <si>
    <t xml:space="preserve">Telefon: </t>
  </si>
  <si>
    <t xml:space="preserve">E-mail: </t>
  </si>
  <si>
    <t xml:space="preserve">Soubory:</t>
  </si>
  <si>
    <t xml:space="preserve">Projekt:</t>
  </si>
  <si>
    <t xml:space="preserve">RH1 V3.ECFX</t>
  </si>
  <si>
    <t xml:space="preserve">Rozvaděče Michna ver 3.XLSX</t>
  </si>
  <si>
    <t xml:space="preserve">Poznámka:</t>
  </si>
  <si>
    <t xml:space="preserve">Datum:</t>
  </si>
  <si>
    <t xml:space="preserve">25.09.2024</t>
  </si>
  <si>
    <t xml:space="preserve">Sumarizovaný seznam</t>
  </si>
  <si>
    <t xml:space="preserve">Platnost: 30 dní (do 25.10.2024)</t>
  </si>
  <si>
    <t xml:space="preserve">(počty kusů NEBYLY zaokrouhleny na násobky základní objednací jednotky)</t>
  </si>
  <si>
    <t xml:space="preserve">Splatnost: 14 dní</t>
  </si>
  <si>
    <t xml:space="preserve">Poř.</t>
  </si>
  <si>
    <t xml:space="preserve">Popis</t>
  </si>
  <si>
    <t xml:space="preserve">Typové označení</t>
  </si>
  <si>
    <t xml:space="preserve">Objednací číslo</t>
  </si>
  <si>
    <t xml:space="preserve">Počet kusů celkem</t>
  </si>
  <si>
    <t xml:space="preserve">Celková koncová cena [Kč]</t>
  </si>
  <si>
    <t xml:space="preserve">Recyklační příspěvek [Kč]</t>
  </si>
  <si>
    <t xml:space="preserve">RH1, pole č.1</t>
  </si>
  <si>
    <t xml:space="preserve">1</t>
  </si>
  <si>
    <t xml:space="preserve">Skříň s dveřmi, otočný plast.zámek, IP30, bílá, na podlahu, ŠxVxH=1000x2060x300</t>
  </si>
  <si>
    <t xml:space="preserve">BP-F-1000/20/3-W</t>
  </si>
  <si>
    <t xml:space="preserve">102342</t>
  </si>
  <si>
    <t xml:space="preserve">2</t>
  </si>
  <si>
    <t xml:space="preserve">Držák krycích desek ProfiPLUS, výška 1950, sada 1 pár</t>
  </si>
  <si>
    <t xml:space="preserve">BPZ-FPS/20</t>
  </si>
  <si>
    <t xml:space="preserve">106430</t>
  </si>
  <si>
    <t xml:space="preserve">3</t>
  </si>
  <si>
    <t xml:space="preserve">Podstavec bok, max. 250kg, bílá V=100, pár bez výřezů, pro skříň IP30, na podlahu, Hl=300</t>
  </si>
  <si>
    <t xml:space="preserve">BPZ-SS-1/3-W</t>
  </si>
  <si>
    <t xml:space="preserve">293514</t>
  </si>
  <si>
    <t xml:space="preserve">4</t>
  </si>
  <si>
    <t xml:space="preserve">Čelní kryt pro podstavec, bílý, V=100, Š=1000</t>
  </si>
  <si>
    <t xml:space="preserve">BPZ-FS-1000/1-W</t>
  </si>
  <si>
    <t xml:space="preserve">293506</t>
  </si>
  <si>
    <t xml:space="preserve">5</t>
  </si>
  <si>
    <t xml:space="preserve">Schránka na dokumentaci A4</t>
  </si>
  <si>
    <t xml:space="preserve">LAB-BAG_A4</t>
  </si>
  <si>
    <t xml:space="preserve">107913</t>
  </si>
  <si>
    <t xml:space="preserve">6</t>
  </si>
  <si>
    <t xml:space="preserve">DIN lišta přístrojová hliníková, šířka skříně = 1000, šířka lišty = 888 (46 modulů)</t>
  </si>
  <si>
    <t xml:space="preserve">BPZ-DINR46-1000</t>
  </si>
  <si>
    <t xml:space="preserve">293597</t>
  </si>
  <si>
    <t xml:space="preserve">7</t>
  </si>
  <si>
    <t xml:space="preserve">Držák DIN lišty, pevná hloubka (sada 1pár)</t>
  </si>
  <si>
    <t xml:space="preserve">BPZ-TF/2</t>
  </si>
  <si>
    <t xml:space="preserve">116651</t>
  </si>
  <si>
    <t xml:space="preserve">8</t>
  </si>
  <si>
    <t xml:space="preserve">Krycí deska ProfiPLUS, s výřezem 45mm, plechová, bílá, V=150, skříň Š=1000</t>
  </si>
  <si>
    <t xml:space="preserve">BPZ-FP-1000/150-45-W</t>
  </si>
  <si>
    <t xml:space="preserve">293533</t>
  </si>
  <si>
    <t xml:space="preserve">9</t>
  </si>
  <si>
    <t xml:space="preserve">Krycí deska ProfiPLUS, bez výřezu, plechová, bílá, V=150, skříň Š=1000</t>
  </si>
  <si>
    <t xml:space="preserve">BPZ-FP-1000/150-BL-W</t>
  </si>
  <si>
    <t xml:space="preserve">293531</t>
  </si>
  <si>
    <t xml:space="preserve">10</t>
  </si>
  <si>
    <t xml:space="preserve">Záslepka pro výřezy 45mm, 6 modulů TE, bílá, lámatelná po 8,75mm (1/2TE)</t>
  </si>
  <si>
    <t xml:space="preserve">BS-6MB-WH</t>
  </si>
  <si>
    <t xml:space="preserve">178978</t>
  </si>
  <si>
    <t xml:space="preserve">11</t>
  </si>
  <si>
    <t xml:space="preserve">Svodič přepětí třídy T1+T2 (B+C), komplet, síť TN-S 3+1, pom.kontakt, Un=350V AC</t>
  </si>
  <si>
    <t xml:space="preserve">SPRT12-350/3+NPE-AX</t>
  </si>
  <si>
    <t xml:space="preserve">195236</t>
  </si>
  <si>
    <t xml:space="preserve">12</t>
  </si>
  <si>
    <t xml:space="preserve">Jistič PL7, char B, 1-pólový, Icn=10kA, In=6A</t>
  </si>
  <si>
    <t xml:space="preserve">PL7-B6/1</t>
  </si>
  <si>
    <t xml:space="preserve">262673</t>
  </si>
  <si>
    <t xml:space="preserve">13</t>
  </si>
  <si>
    <t xml:space="preserve">Jistič PL7, char B, 3-pólový, Icn=10kA, In=25A</t>
  </si>
  <si>
    <t xml:space="preserve">PL7-B25/3</t>
  </si>
  <si>
    <t xml:space="preserve">263391</t>
  </si>
  <si>
    <t xml:space="preserve">14</t>
  </si>
  <si>
    <t xml:space="preserve">Jistič PL7, char B, 1-pólový, Icn=10kA, In=16A</t>
  </si>
  <si>
    <t xml:space="preserve">PL7-B16/1</t>
  </si>
  <si>
    <t xml:space="preserve">262676</t>
  </si>
  <si>
    <t xml:space="preserve">15</t>
  </si>
  <si>
    <t xml:space="preserve">Jistič PL7, char B, 1-pólový, Icn=10kA, In=10A</t>
  </si>
  <si>
    <t xml:space="preserve">PL7-B10/1</t>
  </si>
  <si>
    <t xml:space="preserve">262674</t>
  </si>
  <si>
    <t xml:space="preserve">ú</t>
  </si>
  <si>
    <t xml:space="preserve">16</t>
  </si>
  <si>
    <t xml:space="preserve">Jistič PL7, char B, 3-pólový, Icn=10kA, In=32A</t>
  </si>
  <si>
    <t xml:space="preserve">PL7-B32/3</t>
  </si>
  <si>
    <t xml:space="preserve">263392</t>
  </si>
  <si>
    <t xml:space="preserve">17</t>
  </si>
  <si>
    <t xml:space="preserve">Nosič svorkovnice KL-7…KL-60 na lištu, horizontální</t>
  </si>
  <si>
    <t xml:space="preserve">KT-3</t>
  </si>
  <si>
    <t xml:space="preserve">275445</t>
  </si>
  <si>
    <t xml:space="preserve">18</t>
  </si>
  <si>
    <t xml:space="preserve">Svorkovnice: Rozbočovací můstek N/PE 2x25+58x16mm2</t>
  </si>
  <si>
    <t xml:space="preserve">KL-60</t>
  </si>
  <si>
    <t xml:space="preserve">275451</t>
  </si>
  <si>
    <t xml:space="preserve">19</t>
  </si>
  <si>
    <t xml:space="preserve">Měřicí transformátor na kabel Ø20, I=80/5A</t>
  </si>
  <si>
    <t xml:space="preserve">Z-MG/WAK80</t>
  </si>
  <si>
    <t xml:space="preserve">101622</t>
  </si>
  <si>
    <t xml:space="preserve">20</t>
  </si>
  <si>
    <t xml:space="preserve">Jistič PL7, char B, 3-pólový, Icn=10kA, In=20A</t>
  </si>
  <si>
    <t xml:space="preserve">PL7-B20/3</t>
  </si>
  <si>
    <t xml:space="preserve">263390</t>
  </si>
  <si>
    <t xml:space="preserve">21</t>
  </si>
  <si>
    <t xml:space="preserve">Jistič PL7, char B, 3-pólový, Icn=10kA, In=16A</t>
  </si>
  <si>
    <t xml:space="preserve">PL7-B16/3</t>
  </si>
  <si>
    <t xml:space="preserve">263389</t>
  </si>
  <si>
    <t xml:space="preserve">22</t>
  </si>
  <si>
    <t xml:space="preserve">Chránič s nadproudovou ochranou, Ir=250A+puls.SS, A, 1+N, 10kA, char.B, Idn=0.03A, In=16A</t>
  </si>
  <si>
    <t xml:space="preserve">PFL7-16/1N/B/003-A</t>
  </si>
  <si>
    <t xml:space="preserve">263535</t>
  </si>
  <si>
    <t xml:space="preserve">23</t>
  </si>
  <si>
    <t xml:space="preserve">Chránič Ir=250A, typ A, 4-pól, Idn=0.03A, In=25A</t>
  </si>
  <si>
    <t xml:space="preserve">PF7-25/4/003-A</t>
  </si>
  <si>
    <t xml:space="preserve">263608</t>
  </si>
  <si>
    <t xml:space="preserve">24</t>
  </si>
  <si>
    <t xml:space="preserve">Chránič Ir=3kA, typ G/B, 4-pól, Idn=0.03A, In=40A</t>
  </si>
  <si>
    <t xml:space="preserve">PFIM-40/4/003-XG/B</t>
  </si>
  <si>
    <t xml:space="preserve">300305</t>
  </si>
  <si>
    <t xml:space="preserve">25</t>
  </si>
  <si>
    <t xml:space="preserve">Instalační stykač, Uc=230V AC, In=40A, 4zap. kont.</t>
  </si>
  <si>
    <t xml:space="preserve">Z-SCH230/40-40</t>
  </si>
  <si>
    <t xml:space="preserve">248852</t>
  </si>
  <si>
    <t xml:space="preserve">26</t>
  </si>
  <si>
    <t xml:space="preserve">Instalační stykač, Uc=230V AC, In=25A, 2zap. kont.</t>
  </si>
  <si>
    <t xml:space="preserve">Z-SCH230/1/25-20</t>
  </si>
  <si>
    <t xml:space="preserve">120853</t>
  </si>
  <si>
    <t xml:space="preserve">27</t>
  </si>
  <si>
    <t xml:space="preserve">Instalační stykač, Uc=230V AC, In=25A, 4vyp. kont.</t>
  </si>
  <si>
    <t xml:space="preserve">Z-SCH230/25-04</t>
  </si>
  <si>
    <t xml:space="preserve">248848</t>
  </si>
  <si>
    <t xml:space="preserve">RH1, pole č.2</t>
  </si>
  <si>
    <t xml:space="preserve">Skříň s dveřmi, otočný plast.zámek, IP30, bílá, na podlahu, ŠxVxH=600x2060x300</t>
  </si>
  <si>
    <t xml:space="preserve">BP-F-600/20/3-W</t>
  </si>
  <si>
    <t xml:space="preserve">102338</t>
  </si>
  <si>
    <t xml:space="preserve">Čelní kryt pro podstavec, bílý, V=100, Š=600</t>
  </si>
  <si>
    <t xml:space="preserve">BPZ-FS-600/1-W</t>
  </si>
  <si>
    <t xml:space="preserve">293498</t>
  </si>
  <si>
    <t xml:space="preserve">DIN lišta přístrojová hliníková, šířka skříně = 600, šířka lišty = 488 (24 modulů)</t>
  </si>
  <si>
    <t xml:space="preserve">BPZ-DINR24-600</t>
  </si>
  <si>
    <t xml:space="preserve">293595</t>
  </si>
  <si>
    <t xml:space="preserve">Krycí deska ProfiPLUS, s výřezem 45mm, plechová, bílá, V=150, skříň Š=600</t>
  </si>
  <si>
    <t xml:space="preserve">BPZ-FP-600/150-45-W</t>
  </si>
  <si>
    <t xml:space="preserve">292406</t>
  </si>
  <si>
    <t xml:space="preserve">RP1</t>
  </si>
  <si>
    <t xml:space="preserve">Montážní rám, ŠxV=800x1260</t>
  </si>
  <si>
    <t xml:space="preserve">BP-MF-800/12</t>
  </si>
  <si>
    <t xml:space="preserve">286666</t>
  </si>
  <si>
    <t xml:space="preserve">Horní+dolní panel, s výřezy, pár, bílý, Š=800</t>
  </si>
  <si>
    <t xml:space="preserve">BP-TBP-800-CE-W</t>
  </si>
  <si>
    <t xml:space="preserve">292425</t>
  </si>
  <si>
    <t xml:space="preserve">Deska pro vstup kabelů, bílá, Š=800</t>
  </si>
  <si>
    <t xml:space="preserve">BP-FLP-800-2K-W</t>
  </si>
  <si>
    <t xml:space="preserve">292433</t>
  </si>
  <si>
    <t xml:space="preserve">Deska pro vstup kabelů, bez výřezů, bílá, Š=800</t>
  </si>
  <si>
    <t xml:space="preserve">BP-FLP-800-BL-W</t>
  </si>
  <si>
    <t xml:space="preserve">292432</t>
  </si>
  <si>
    <t xml:space="preserve">Boční panel při užití bočnice MSW, bílá, V=1260</t>
  </si>
  <si>
    <t xml:space="preserve">BPZ-SP-MSW-12-W</t>
  </si>
  <si>
    <t xml:space="preserve">111349</t>
  </si>
  <si>
    <t xml:space="preserve">Držák krycích desek ProfiPLUS, výška 1150, sada 1 pár</t>
  </si>
  <si>
    <t xml:space="preserve">BPZ-FPS/1150</t>
  </si>
  <si>
    <t xml:space="preserve">112346</t>
  </si>
  <si>
    <t xml:space="preserve">Dveře plechové plné, otočný plast.zámek, IP30, bílá, ŠxV=800x1260</t>
  </si>
  <si>
    <t xml:space="preserve">BP-DS-800/12-W</t>
  </si>
  <si>
    <t xml:space="preserve">292448</t>
  </si>
  <si>
    <t xml:space="preserve">Lišta pro uchycení N/PE svorek, Š=800</t>
  </si>
  <si>
    <t xml:space="preserve">BPZ-TSB-800</t>
  </si>
  <si>
    <t xml:space="preserve">106449</t>
  </si>
  <si>
    <t xml:space="preserve">Svorkovnice: Rozbočovací můstek N/PE 2x25+27x16mm2</t>
  </si>
  <si>
    <t xml:space="preserve">KL-29</t>
  </si>
  <si>
    <t xml:space="preserve">275449</t>
  </si>
  <si>
    <t xml:space="preserve">DIN lišta přístrojová hliníková, šířka skříně = 800, šířka lišty = 688 (35 modulů)</t>
  </si>
  <si>
    <t xml:space="preserve">BPZ-DINR35-800</t>
  </si>
  <si>
    <t xml:space="preserve">293596</t>
  </si>
  <si>
    <t xml:space="preserve">Krycí deska ProfiPLUS, s výřezem 45mm, plechová, bílá, V=150, skříň Š=800</t>
  </si>
  <si>
    <t xml:space="preserve">BPZ-FP-800/150-45-W</t>
  </si>
  <si>
    <t xml:space="preserve">292412</t>
  </si>
  <si>
    <t xml:space="preserve">Krycí deska ProfiPLUS, bez výřezu, plechová, bílá, V=150, skříň Š=800</t>
  </si>
  <si>
    <t xml:space="preserve">BPZ-FP-800/150-BL-W</t>
  </si>
  <si>
    <t xml:space="preserve">292411</t>
  </si>
  <si>
    <t xml:space="preserve">Krycí deska ProfiPLUS, bez výřezu, plechová, bílá, V=100, skříň Š=800</t>
  </si>
  <si>
    <t xml:space="preserve">BPZ-FP-800/100-BL-W</t>
  </si>
  <si>
    <t xml:space="preserve">292410</t>
  </si>
  <si>
    <t xml:space="preserve">Hlavní vypínač, 3-pól, In=40A</t>
  </si>
  <si>
    <t xml:space="preserve">IS-40/3</t>
  </si>
  <si>
    <t xml:space="preserve">276272</t>
  </si>
  <si>
    <t xml:space="preserve">Chránič s nadproudovou ochranou, Ir=250A+puls.SS, A, 1+N, 10kA, char.B, Idn=0.03A, In=10A</t>
  </si>
  <si>
    <t xml:space="preserve">PFL7-10/1N/B/003-A</t>
  </si>
  <si>
    <t xml:space="preserve">263435</t>
  </si>
  <si>
    <t xml:space="preserve">28</t>
  </si>
  <si>
    <t xml:space="preserve">Instalační stykač, Uc=230V AC, In=25A, 4zap. kont.</t>
  </si>
  <si>
    <t xml:space="preserve">Z-SCH230/25-40</t>
  </si>
  <si>
    <t xml:space="preserve">248847</t>
  </si>
  <si>
    <t xml:space="preserve">29</t>
  </si>
  <si>
    <t xml:space="preserve">RP1, pole č.2</t>
  </si>
  <si>
    <t xml:space="preserve">Montážní rám, ŠxV=400x1260</t>
  </si>
  <si>
    <t xml:space="preserve">BP-MF-400/12</t>
  </si>
  <si>
    <t xml:space="preserve">286656</t>
  </si>
  <si>
    <t xml:space="preserve">Horní+dolní panel, s výřezy, pár, bílý, Š=400</t>
  </si>
  <si>
    <t xml:space="preserve">BP-TBP-400-CE-W</t>
  </si>
  <si>
    <t xml:space="preserve">292421</t>
  </si>
  <si>
    <t xml:space="preserve">Deska pro vstup kabelů, bílá, Š=400</t>
  </si>
  <si>
    <t xml:space="preserve">BP-FLP-400-2K-W</t>
  </si>
  <si>
    <t xml:space="preserve">292427</t>
  </si>
  <si>
    <t xml:space="preserve">Deska pro vstup kabelů, bez výřezů, bílá, Š=400</t>
  </si>
  <si>
    <t xml:space="preserve">BP-FLP-400-BL-W</t>
  </si>
  <si>
    <t xml:space="preserve">292426</t>
  </si>
  <si>
    <t xml:space="preserve">Dveře plechové plné, otočný plast.zámek, IP30, bílá, ŠxV=400x1260</t>
  </si>
  <si>
    <t xml:space="preserve">BP-DS-400/12-W</t>
  </si>
  <si>
    <t xml:space="preserve">292438</t>
  </si>
  <si>
    <t xml:space="preserve">Lišta pro uchycení N/PE svorek, Š=400</t>
  </si>
  <si>
    <t xml:space="preserve">BPZ-TSB-400</t>
  </si>
  <si>
    <t xml:space="preserve">106447</t>
  </si>
  <si>
    <t xml:space="preserve">Svorkovnice: Rozbočovací můstek N/PE pro nosič KT, nebo SK-KLV, 2x25mm2 a 13x16mm2</t>
  </si>
  <si>
    <t xml:space="preserve">KL-15</t>
  </si>
  <si>
    <t xml:space="preserve">219726</t>
  </si>
  <si>
    <t xml:space="preserve">DIN lišta přístrojová hliníková, šířka skříně = 400, šířka lišty = 288 (13 modulů)</t>
  </si>
  <si>
    <t xml:space="preserve">BPZ-DINR13-400</t>
  </si>
  <si>
    <t xml:space="preserve">293594</t>
  </si>
  <si>
    <t xml:space="preserve">Krycí deska ProfiPLUS, s výřezem 45mm, plechová, bílá, V=150, skříň Š=400</t>
  </si>
  <si>
    <t xml:space="preserve">BPZ-FP-400/150-45-W</t>
  </si>
  <si>
    <t xml:space="preserve">292400</t>
  </si>
  <si>
    <t xml:space="preserve">Krycí deska ProfiPLUS, bez výřezu, plechová, bílá, V=100, skříň Š=400</t>
  </si>
  <si>
    <t xml:space="preserve">BPZ-FP-400/100-BL-W</t>
  </si>
  <si>
    <t xml:space="preserve">292398</t>
  </si>
  <si>
    <t xml:space="preserve">Cena celkem včetně slevy [Kč]</t>
  </si>
  <si>
    <t xml:space="preserve">Sazba DPH základní (A) 21% [Kč]</t>
  </si>
  <si>
    <t xml:space="preserve">Cena celkem včetně slevy + Sazba DPH základní (A) [Kč]</t>
  </si>
  <si>
    <t xml:space="preserve">Upozornění: Některé položky mají nulovou cenu (nulový počet kusů).</t>
  </si>
  <si>
    <t xml:space="preserve">Sumarizovaný seznam (počty kusů NEBYLY zaokrouhleny na násobky základní objednací jednotky)</t>
  </si>
  <si>
    <t xml:space="preserve">Zvýrazněné položky - počet kusů neodpovídá základní objednací jednotce.</t>
  </si>
  <si>
    <t xml:space="preserve">Nabídka neobsahuje svorky IN a WL a cenu přepěťových ochran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</si>
</sst>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"/>
    <numFmt numFmtId="167" formatCode="#,##0.00"/>
    <numFmt numFmtId="168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6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4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BFF"/>
        <bgColor rgb="FFCCCCFF"/>
      </patternFill>
    </fill>
    <fill>
      <patternFill patternType="solid">
        <fgColor rgb="FFCCFFFF"/>
        <bgColor rgb="FFCCFFFF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2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2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2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2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2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0" fillId="2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2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2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3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3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4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2" borderId="1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4" fillId="2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" fillId="2" borderId="16" xfId="0" applyFont="true" applyBorder="true" applyAlignment="true" applyProtection="false">
      <alignment horizontal="right" vertical="top" textRotation="0" wrapText="false" indent="1" shrinkToFit="false"/>
      <protection locked="true" hidden="false"/>
    </xf>
    <xf numFmtId="167" fontId="4" fillId="2" borderId="1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4" fillId="2" borderId="17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4" fillId="4" borderId="16" xfId="0" applyFont="true" applyBorder="true" applyAlignment="true" applyProtection="false">
      <alignment horizontal="right" vertical="top" textRotation="0" wrapText="false" indent="1" shrinkToFit="false"/>
      <protection locked="true" hidden="false"/>
    </xf>
    <xf numFmtId="167" fontId="11" fillId="2" borderId="1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4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3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3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3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3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3" borderId="2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3" borderId="2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5" fillId="3" borderId="1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5" fillId="3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7" fillId="3" borderId="2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2" fillId="3" borderId="1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2" fillId="3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B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8</xdr:col>
      <xdr:colOff>423000</xdr:colOff>
      <xdr:row>0</xdr:row>
      <xdr:rowOff>28440</xdr:rowOff>
    </xdr:from>
    <xdr:to>
      <xdr:col>8</xdr:col>
      <xdr:colOff>1451520</xdr:colOff>
      <xdr:row>1</xdr:row>
      <xdr:rowOff>56520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8001000" y="28440"/>
          <a:ext cx="1028520" cy="333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1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M42" activeCellId="0" sqref="M4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.71"/>
    <col collapsed="false" customWidth="true" hidden="false" outlineLevel="0" max="3" min="3" style="1" width="50.71"/>
    <col collapsed="false" customWidth="true" hidden="false" outlineLevel="0" max="4" min="4" style="1" width="1.71"/>
    <col collapsed="false" customWidth="true" hidden="false" outlineLevel="0" max="5" min="5" style="1" width="20.72"/>
    <col collapsed="false" customWidth="true" hidden="false" outlineLevel="0" max="6" min="6" style="1" width="3.72"/>
    <col collapsed="false" customWidth="true" hidden="false" outlineLevel="0" max="7" min="7" style="1" width="7.72"/>
    <col collapsed="false" customWidth="true" hidden="false" outlineLevel="0" max="8" min="8" style="1" width="1.71"/>
    <col collapsed="false" customWidth="true" hidden="false" outlineLevel="0" max="9" min="9" style="1" width="18.71"/>
    <col collapsed="false" customWidth="true" hidden="false" outlineLevel="0" max="10" min="10" style="1" width="8.72"/>
    <col collapsed="false" customWidth="true" hidden="false" outlineLevel="0" max="11" min="11" style="1" width="13.71"/>
    <col collapsed="false" customWidth="true" hidden="false" outlineLevel="0" max="12" min="12" style="1" width="12.72"/>
  </cols>
  <sheetData>
    <row r="1" customFormat="false" ht="24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customFormat="false" ht="15.75" hidden="false" customHeight="true" outlineLevel="0" collapsed="false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4" customFormat="false" ht="15" hidden="false" customHeight="false" outlineLevel="0" collapsed="false">
      <c r="B4" s="8" t="s">
        <v>2</v>
      </c>
      <c r="C4" s="9"/>
      <c r="F4" s="8" t="s">
        <v>3</v>
      </c>
      <c r="G4" s="10"/>
      <c r="H4" s="10"/>
      <c r="I4" s="10"/>
      <c r="J4" s="10"/>
      <c r="K4" s="9"/>
    </row>
    <row r="5" customFormat="false" ht="15" hidden="false" customHeight="false" outlineLevel="0" collapsed="false">
      <c r="B5" s="11"/>
      <c r="C5" s="12" t="s">
        <v>4</v>
      </c>
      <c r="F5" s="11"/>
      <c r="G5" s="13"/>
      <c r="H5" s="13"/>
      <c r="I5" s="13"/>
      <c r="J5" s="13"/>
      <c r="K5" s="12"/>
    </row>
    <row r="6" customFormat="false" ht="15" hidden="false" customHeight="false" outlineLevel="0" collapsed="false">
      <c r="B6" s="14"/>
      <c r="C6" s="15" t="s">
        <v>5</v>
      </c>
      <c r="F6" s="14"/>
      <c r="K6" s="15"/>
    </row>
    <row r="7" customFormat="false" ht="15" hidden="false" customHeight="false" outlineLevel="0" collapsed="false">
      <c r="B7" s="16"/>
      <c r="C7" s="17" t="s">
        <v>6</v>
      </c>
      <c r="F7" s="16"/>
      <c r="G7" s="18" t="s">
        <v>7</v>
      </c>
      <c r="H7" s="18"/>
      <c r="I7" s="18"/>
      <c r="J7" s="18"/>
      <c r="K7" s="17"/>
    </row>
    <row r="8" customFormat="false" ht="5.25" hidden="false" customHeight="true" outlineLevel="0" collapsed="false">
      <c r="B8" s="19"/>
      <c r="C8" s="20"/>
      <c r="F8" s="19"/>
      <c r="G8" s="21"/>
      <c r="H8" s="21"/>
      <c r="I8" s="21"/>
      <c r="J8" s="21"/>
      <c r="K8" s="20"/>
    </row>
    <row r="9" customFormat="false" ht="15" hidden="false" customHeight="false" outlineLevel="0" collapsed="false">
      <c r="B9" s="14"/>
      <c r="C9" s="15" t="s">
        <v>8</v>
      </c>
      <c r="F9" s="14"/>
      <c r="G9" s="1" t="s">
        <v>8</v>
      </c>
      <c r="K9" s="15"/>
    </row>
    <row r="10" customFormat="false" ht="15" hidden="false" customHeight="false" outlineLevel="0" collapsed="false">
      <c r="B10" s="14"/>
      <c r="C10" s="15" t="s">
        <v>9</v>
      </c>
      <c r="F10" s="14"/>
      <c r="G10" s="1" t="s">
        <v>9</v>
      </c>
      <c r="K10" s="15"/>
    </row>
    <row r="11" customFormat="false" ht="15" hidden="false" customHeight="false" outlineLevel="0" collapsed="false">
      <c r="B11" s="14"/>
      <c r="C11" s="15" t="s">
        <v>10</v>
      </c>
      <c r="F11" s="14"/>
      <c r="G11" s="1" t="s">
        <v>10</v>
      </c>
      <c r="K11" s="15"/>
    </row>
    <row r="12" customFormat="false" ht="15" hidden="false" customHeight="false" outlineLevel="0" collapsed="false">
      <c r="B12" s="14"/>
      <c r="C12" s="15" t="s">
        <v>11</v>
      </c>
      <c r="F12" s="14"/>
      <c r="G12" s="1" t="s">
        <v>11</v>
      </c>
      <c r="K12" s="15"/>
    </row>
    <row r="13" customFormat="false" ht="5.25" hidden="false" customHeight="true" outlineLevel="0" collapsed="false">
      <c r="B13" s="19"/>
      <c r="C13" s="20"/>
      <c r="F13" s="19"/>
      <c r="G13" s="21"/>
      <c r="H13" s="21"/>
      <c r="I13" s="21"/>
      <c r="J13" s="21"/>
      <c r="K13" s="20"/>
    </row>
    <row r="14" customFormat="false" ht="15" hidden="false" customHeight="false" outlineLevel="0" collapsed="false">
      <c r="B14" s="14"/>
      <c r="C14" s="15" t="s">
        <v>12</v>
      </c>
      <c r="F14" s="14"/>
      <c r="K14" s="15"/>
    </row>
    <row r="15" customFormat="false" ht="15" hidden="false" customHeight="false" outlineLevel="0" collapsed="false">
      <c r="B15" s="14"/>
      <c r="C15" s="15" t="s">
        <v>13</v>
      </c>
      <c r="F15" s="14"/>
      <c r="G15" s="1" t="s">
        <v>13</v>
      </c>
      <c r="K15" s="15"/>
    </row>
    <row r="16" customFormat="false" ht="15" hidden="false" customHeight="false" outlineLevel="0" collapsed="false">
      <c r="B16" s="22"/>
      <c r="C16" s="23" t="s">
        <v>14</v>
      </c>
      <c r="F16" s="22"/>
      <c r="G16" s="24" t="s">
        <v>14</v>
      </c>
      <c r="H16" s="24"/>
      <c r="I16" s="24"/>
      <c r="J16" s="24"/>
      <c r="K16" s="23"/>
    </row>
    <row r="18" customFormat="false" ht="15" hidden="false" customHeight="false" outlineLevel="0" collapsed="false">
      <c r="B18" s="8" t="s">
        <v>15</v>
      </c>
      <c r="C18" s="9"/>
      <c r="F18" s="8" t="s">
        <v>16</v>
      </c>
      <c r="G18" s="10"/>
      <c r="H18" s="10"/>
      <c r="I18" s="10"/>
      <c r="J18" s="10"/>
      <c r="K18" s="9"/>
    </row>
    <row r="19" customFormat="false" ht="15" hidden="false" customHeight="false" outlineLevel="0" collapsed="false">
      <c r="B19" s="14"/>
      <c r="C19" s="15" t="s">
        <v>17</v>
      </c>
      <c r="F19" s="25"/>
      <c r="G19" s="26"/>
      <c r="H19" s="26"/>
      <c r="I19" s="26"/>
      <c r="J19" s="26"/>
      <c r="K19" s="27"/>
    </row>
    <row r="20" customFormat="false" ht="15" hidden="false" customHeight="false" outlineLevel="0" collapsed="false">
      <c r="B20" s="14"/>
      <c r="C20" s="15" t="s">
        <v>18</v>
      </c>
      <c r="F20" s="25"/>
      <c r="G20" s="26"/>
      <c r="H20" s="26"/>
      <c r="I20" s="26"/>
      <c r="J20" s="26"/>
      <c r="K20" s="27"/>
    </row>
    <row r="21" customFormat="false" ht="15" hidden="false" customHeight="false" outlineLevel="0" collapsed="false">
      <c r="B21" s="16" t="s">
        <v>19</v>
      </c>
      <c r="C21" s="17"/>
      <c r="F21" s="16" t="s">
        <v>20</v>
      </c>
      <c r="G21" s="18"/>
      <c r="H21" s="18"/>
      <c r="I21" s="18"/>
      <c r="J21" s="18"/>
      <c r="K21" s="17"/>
    </row>
    <row r="22" customFormat="false" ht="15" hidden="false" customHeight="false" outlineLevel="0" collapsed="false">
      <c r="B22" s="14"/>
      <c r="C22" s="15"/>
      <c r="F22" s="14"/>
      <c r="G22" s="1" t="s">
        <v>21</v>
      </c>
      <c r="K22" s="15"/>
    </row>
    <row r="23" customFormat="false" ht="15" hidden="false" customHeight="false" outlineLevel="0" collapsed="false">
      <c r="B23" s="28"/>
      <c r="C23" s="29" t="s">
        <v>22</v>
      </c>
      <c r="F23" s="14"/>
      <c r="G23" s="1" t="s">
        <v>23</v>
      </c>
      <c r="K23" s="15"/>
    </row>
    <row r="24" customFormat="false" ht="15" hidden="false" customHeight="false" outlineLevel="0" collapsed="false">
      <c r="B24" s="30"/>
      <c r="C24" s="31" t="s">
        <v>24</v>
      </c>
      <c r="F24" s="22"/>
      <c r="G24" s="24" t="s">
        <v>25</v>
      </c>
      <c r="H24" s="24"/>
      <c r="I24" s="24"/>
      <c r="J24" s="24"/>
      <c r="K24" s="23"/>
    </row>
    <row r="26" customFormat="false" ht="42" hidden="false" customHeight="true" outlineLevel="0" collapsed="false">
      <c r="A26" s="32" t="s">
        <v>26</v>
      </c>
      <c r="B26" s="33" t="s">
        <v>27</v>
      </c>
      <c r="C26" s="33"/>
      <c r="D26" s="33" t="s">
        <v>28</v>
      </c>
      <c r="E26" s="33"/>
      <c r="F26" s="33"/>
      <c r="G26" s="33"/>
      <c r="H26" s="33" t="s">
        <v>29</v>
      </c>
      <c r="I26" s="33"/>
      <c r="J26" s="33" t="s">
        <v>30</v>
      </c>
      <c r="K26" s="33" t="s">
        <v>31</v>
      </c>
      <c r="L26" s="34" t="s">
        <v>32</v>
      </c>
    </row>
    <row r="27" customFormat="false" ht="15" hidden="false" customHeight="false" outlineLevel="0" collapsed="false">
      <c r="A27" s="35" t="s">
        <v>33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customFormat="false" ht="25.5" hidden="false" customHeight="true" outlineLevel="0" collapsed="false">
      <c r="A28" s="38" t="s">
        <v>34</v>
      </c>
      <c r="B28" s="39" t="s">
        <v>35</v>
      </c>
      <c r="C28" s="39"/>
      <c r="D28" s="39" t="s">
        <v>36</v>
      </c>
      <c r="E28" s="39"/>
      <c r="F28" s="39"/>
      <c r="G28" s="39"/>
      <c r="H28" s="39" t="s">
        <v>37</v>
      </c>
      <c r="I28" s="39"/>
      <c r="J28" s="40" t="n">
        <v>1</v>
      </c>
      <c r="K28" s="41" t="n">
        <v>21559</v>
      </c>
      <c r="L28" s="42" t="n">
        <v>0</v>
      </c>
    </row>
    <row r="29" customFormat="false" ht="25.5" hidden="false" customHeight="true" outlineLevel="0" collapsed="false">
      <c r="A29" s="38" t="s">
        <v>38</v>
      </c>
      <c r="B29" s="39" t="s">
        <v>39</v>
      </c>
      <c r="C29" s="39"/>
      <c r="D29" s="39" t="s">
        <v>40</v>
      </c>
      <c r="E29" s="39"/>
      <c r="F29" s="39"/>
      <c r="G29" s="39"/>
      <c r="H29" s="39" t="s">
        <v>41</v>
      </c>
      <c r="I29" s="39"/>
      <c r="J29" s="40" t="n">
        <v>1</v>
      </c>
      <c r="K29" s="41" t="n">
        <v>614</v>
      </c>
      <c r="L29" s="42" t="n">
        <v>0</v>
      </c>
    </row>
    <row r="30" customFormat="false" ht="25.5" hidden="false" customHeight="true" outlineLevel="0" collapsed="false">
      <c r="A30" s="38" t="s">
        <v>42</v>
      </c>
      <c r="B30" s="39" t="s">
        <v>43</v>
      </c>
      <c r="C30" s="39"/>
      <c r="D30" s="39" t="s">
        <v>44</v>
      </c>
      <c r="E30" s="39"/>
      <c r="F30" s="39"/>
      <c r="G30" s="39"/>
      <c r="H30" s="39" t="s">
        <v>45</v>
      </c>
      <c r="I30" s="39"/>
      <c r="J30" s="40" t="n">
        <v>1</v>
      </c>
      <c r="K30" s="41" t="n">
        <v>728</v>
      </c>
      <c r="L30" s="42" t="n">
        <v>0</v>
      </c>
    </row>
    <row r="31" customFormat="false" ht="25.5" hidden="false" customHeight="true" outlineLevel="0" collapsed="false">
      <c r="A31" s="38" t="s">
        <v>46</v>
      </c>
      <c r="B31" s="39" t="s">
        <v>47</v>
      </c>
      <c r="C31" s="39"/>
      <c r="D31" s="39" t="s">
        <v>48</v>
      </c>
      <c r="E31" s="39"/>
      <c r="F31" s="39"/>
      <c r="G31" s="39"/>
      <c r="H31" s="39" t="s">
        <v>49</v>
      </c>
      <c r="I31" s="39"/>
      <c r="J31" s="40" t="n">
        <v>2</v>
      </c>
      <c r="K31" s="41" t="n">
        <v>1026</v>
      </c>
      <c r="L31" s="42" t="n">
        <v>0</v>
      </c>
    </row>
    <row r="32" customFormat="false" ht="25.5" hidden="false" customHeight="true" outlineLevel="0" collapsed="false">
      <c r="A32" s="38" t="s">
        <v>50</v>
      </c>
      <c r="B32" s="39" t="s">
        <v>51</v>
      </c>
      <c r="C32" s="39"/>
      <c r="D32" s="39" t="s">
        <v>52</v>
      </c>
      <c r="E32" s="39"/>
      <c r="F32" s="39"/>
      <c r="G32" s="39"/>
      <c r="H32" s="39" t="s">
        <v>53</v>
      </c>
      <c r="I32" s="39"/>
      <c r="J32" s="40" t="n">
        <v>1</v>
      </c>
      <c r="K32" s="41" t="n">
        <v>197</v>
      </c>
      <c r="L32" s="42" t="n">
        <v>0</v>
      </c>
    </row>
    <row r="33" customFormat="false" ht="25.5" hidden="false" customHeight="true" outlineLevel="0" collapsed="false">
      <c r="A33" s="38" t="s">
        <v>54</v>
      </c>
      <c r="B33" s="39" t="s">
        <v>55</v>
      </c>
      <c r="C33" s="39"/>
      <c r="D33" s="39" t="s">
        <v>56</v>
      </c>
      <c r="E33" s="39"/>
      <c r="F33" s="39"/>
      <c r="G33" s="39"/>
      <c r="H33" s="39" t="s">
        <v>57</v>
      </c>
      <c r="I33" s="39"/>
      <c r="J33" s="43" t="n">
        <v>13</v>
      </c>
      <c r="K33" s="41" t="n">
        <v>2054</v>
      </c>
      <c r="L33" s="42" t="n">
        <v>0</v>
      </c>
    </row>
    <row r="34" customFormat="false" ht="25.5" hidden="false" customHeight="true" outlineLevel="0" collapsed="false">
      <c r="A34" s="38" t="s">
        <v>58</v>
      </c>
      <c r="B34" s="39" t="s">
        <v>59</v>
      </c>
      <c r="C34" s="39"/>
      <c r="D34" s="39" t="s">
        <v>60</v>
      </c>
      <c r="E34" s="39"/>
      <c r="F34" s="39"/>
      <c r="G34" s="39"/>
      <c r="H34" s="39" t="s">
        <v>61</v>
      </c>
      <c r="I34" s="39"/>
      <c r="J34" s="40" t="n">
        <v>13</v>
      </c>
      <c r="K34" s="41" t="n">
        <v>1144</v>
      </c>
      <c r="L34" s="42" t="n">
        <v>0</v>
      </c>
    </row>
    <row r="35" customFormat="false" ht="25.5" hidden="false" customHeight="true" outlineLevel="0" collapsed="false">
      <c r="A35" s="38" t="s">
        <v>62</v>
      </c>
      <c r="B35" s="39" t="s">
        <v>63</v>
      </c>
      <c r="C35" s="39"/>
      <c r="D35" s="39" t="s">
        <v>64</v>
      </c>
      <c r="E35" s="39"/>
      <c r="F35" s="39"/>
      <c r="G35" s="39"/>
      <c r="H35" s="39" t="s">
        <v>65</v>
      </c>
      <c r="I35" s="39"/>
      <c r="J35" s="40" t="n">
        <v>10</v>
      </c>
      <c r="K35" s="41" t="n">
        <v>4410</v>
      </c>
      <c r="L35" s="42" t="n">
        <v>0</v>
      </c>
    </row>
    <row r="36" customFormat="false" ht="25.5" hidden="false" customHeight="true" outlineLevel="0" collapsed="false">
      <c r="A36" s="38" t="s">
        <v>66</v>
      </c>
      <c r="B36" s="39" t="s">
        <v>67</v>
      </c>
      <c r="C36" s="39"/>
      <c r="D36" s="39" t="s">
        <v>68</v>
      </c>
      <c r="E36" s="39"/>
      <c r="F36" s="39"/>
      <c r="G36" s="39"/>
      <c r="H36" s="39" t="s">
        <v>69</v>
      </c>
      <c r="I36" s="39"/>
      <c r="J36" s="40" t="n">
        <v>3</v>
      </c>
      <c r="K36" s="41" t="n">
        <v>1305</v>
      </c>
      <c r="L36" s="42" t="n">
        <v>0</v>
      </c>
    </row>
    <row r="37" customFormat="false" ht="25.5" hidden="false" customHeight="true" outlineLevel="0" collapsed="false">
      <c r="A37" s="38" t="s">
        <v>70</v>
      </c>
      <c r="B37" s="39" t="s">
        <v>71</v>
      </c>
      <c r="C37" s="39"/>
      <c r="D37" s="39" t="s">
        <v>72</v>
      </c>
      <c r="E37" s="39"/>
      <c r="F37" s="39"/>
      <c r="G37" s="39"/>
      <c r="H37" s="39" t="s">
        <v>73</v>
      </c>
      <c r="I37" s="39"/>
      <c r="J37" s="43" t="n">
        <v>36</v>
      </c>
      <c r="K37" s="41" t="n">
        <v>756</v>
      </c>
      <c r="L37" s="42" t="n">
        <v>0</v>
      </c>
    </row>
    <row r="38" customFormat="false" ht="25.5" hidden="false" customHeight="true" outlineLevel="0" collapsed="false">
      <c r="A38" s="38" t="s">
        <v>74</v>
      </c>
      <c r="B38" s="39" t="s">
        <v>75</v>
      </c>
      <c r="C38" s="39"/>
      <c r="D38" s="39" t="s">
        <v>76</v>
      </c>
      <c r="E38" s="39"/>
      <c r="F38" s="39"/>
      <c r="G38" s="39"/>
      <c r="H38" s="39" t="s">
        <v>77</v>
      </c>
      <c r="I38" s="39"/>
      <c r="J38" s="40" t="n">
        <v>1</v>
      </c>
      <c r="K38" s="44" t="n">
        <v>0</v>
      </c>
      <c r="L38" s="42" t="n">
        <v>0</v>
      </c>
    </row>
    <row r="39" customFormat="false" ht="25.5" hidden="false" customHeight="true" outlineLevel="0" collapsed="false">
      <c r="A39" s="38" t="s">
        <v>78</v>
      </c>
      <c r="B39" s="39" t="s">
        <v>79</v>
      </c>
      <c r="C39" s="39"/>
      <c r="D39" s="39" t="s">
        <v>80</v>
      </c>
      <c r="E39" s="39"/>
      <c r="F39" s="39"/>
      <c r="G39" s="39"/>
      <c r="H39" s="39" t="s">
        <v>81</v>
      </c>
      <c r="I39" s="39"/>
      <c r="J39" s="40" t="n">
        <v>1</v>
      </c>
      <c r="K39" s="41" t="n">
        <v>204</v>
      </c>
      <c r="L39" s="42" t="n">
        <v>0.16</v>
      </c>
    </row>
    <row r="40" customFormat="false" ht="25.5" hidden="false" customHeight="true" outlineLevel="0" collapsed="false">
      <c r="A40" s="38" t="s">
        <v>82</v>
      </c>
      <c r="B40" s="39" t="s">
        <v>83</v>
      </c>
      <c r="C40" s="39"/>
      <c r="D40" s="39" t="s">
        <v>84</v>
      </c>
      <c r="E40" s="39"/>
      <c r="F40" s="39"/>
      <c r="G40" s="39"/>
      <c r="H40" s="39" t="s">
        <v>85</v>
      </c>
      <c r="I40" s="39"/>
      <c r="J40" s="40" t="n">
        <v>3</v>
      </c>
      <c r="K40" s="41" t="n">
        <v>2019</v>
      </c>
      <c r="L40" s="42" t="n">
        <v>1.44</v>
      </c>
      <c r="M40" s="45" t="n">
        <f aca="false">K40/3</f>
        <v>673</v>
      </c>
    </row>
    <row r="41" customFormat="false" ht="25.5" hidden="false" customHeight="true" outlineLevel="0" collapsed="false">
      <c r="A41" s="38" t="s">
        <v>86</v>
      </c>
      <c r="B41" s="39" t="s">
        <v>87</v>
      </c>
      <c r="C41" s="39"/>
      <c r="D41" s="39" t="s">
        <v>88</v>
      </c>
      <c r="E41" s="39"/>
      <c r="F41" s="39"/>
      <c r="G41" s="39"/>
      <c r="H41" s="39" t="s">
        <v>89</v>
      </c>
      <c r="I41" s="39"/>
      <c r="J41" s="40" t="n">
        <v>45</v>
      </c>
      <c r="K41" s="41" t="n">
        <v>6165</v>
      </c>
      <c r="L41" s="42" t="n">
        <v>7.2</v>
      </c>
    </row>
    <row r="42" customFormat="false" ht="25.5" hidden="false" customHeight="true" outlineLevel="0" collapsed="false">
      <c r="A42" s="38" t="s">
        <v>90</v>
      </c>
      <c r="B42" s="39" t="s">
        <v>91</v>
      </c>
      <c r="C42" s="39"/>
      <c r="D42" s="39" t="s">
        <v>92</v>
      </c>
      <c r="E42" s="39"/>
      <c r="F42" s="39"/>
      <c r="G42" s="39"/>
      <c r="H42" s="39" t="s">
        <v>93</v>
      </c>
      <c r="I42" s="39"/>
      <c r="J42" s="40" t="n">
        <v>43</v>
      </c>
      <c r="K42" s="41" t="n">
        <v>6794</v>
      </c>
      <c r="L42" s="42" t="n">
        <v>6.88</v>
      </c>
      <c r="M42" s="45" t="s">
        <v>94</v>
      </c>
    </row>
    <row r="43" customFormat="false" ht="25.5" hidden="false" customHeight="true" outlineLevel="0" collapsed="false">
      <c r="A43" s="38" t="s">
        <v>95</v>
      </c>
      <c r="B43" s="39" t="s">
        <v>96</v>
      </c>
      <c r="C43" s="39"/>
      <c r="D43" s="39" t="s">
        <v>97</v>
      </c>
      <c r="E43" s="39"/>
      <c r="F43" s="39"/>
      <c r="G43" s="39"/>
      <c r="H43" s="39" t="s">
        <v>98</v>
      </c>
      <c r="I43" s="39"/>
      <c r="J43" s="40" t="n">
        <v>1</v>
      </c>
      <c r="K43" s="41" t="n">
        <v>836</v>
      </c>
      <c r="L43" s="42" t="n">
        <v>0.48</v>
      </c>
    </row>
    <row r="44" customFormat="false" ht="25.5" hidden="false" customHeight="true" outlineLevel="0" collapsed="false">
      <c r="A44" s="38" t="s">
        <v>99</v>
      </c>
      <c r="B44" s="39" t="s">
        <v>100</v>
      </c>
      <c r="C44" s="39"/>
      <c r="D44" s="39" t="s">
        <v>101</v>
      </c>
      <c r="E44" s="39"/>
      <c r="F44" s="39"/>
      <c r="G44" s="39"/>
      <c r="H44" s="39" t="s">
        <v>102</v>
      </c>
      <c r="I44" s="39"/>
      <c r="J44" s="43" t="n">
        <v>6</v>
      </c>
      <c r="K44" s="41" t="n">
        <v>612</v>
      </c>
      <c r="L44" s="42" t="n">
        <v>0.12</v>
      </c>
    </row>
    <row r="45" customFormat="false" ht="25.5" hidden="false" customHeight="true" outlineLevel="0" collapsed="false">
      <c r="A45" s="38" t="s">
        <v>103</v>
      </c>
      <c r="B45" s="39" t="s">
        <v>104</v>
      </c>
      <c r="C45" s="39"/>
      <c r="D45" s="39" t="s">
        <v>105</v>
      </c>
      <c r="E45" s="39"/>
      <c r="F45" s="39"/>
      <c r="G45" s="39"/>
      <c r="H45" s="39" t="s">
        <v>106</v>
      </c>
      <c r="I45" s="39"/>
      <c r="J45" s="40" t="n">
        <v>2</v>
      </c>
      <c r="K45" s="41" t="n">
        <v>1586</v>
      </c>
      <c r="L45" s="42" t="n">
        <v>0.7</v>
      </c>
    </row>
    <row r="46" customFormat="false" ht="25.5" hidden="false" customHeight="true" outlineLevel="0" collapsed="false">
      <c r="A46" s="38" t="s">
        <v>107</v>
      </c>
      <c r="B46" s="39" t="s">
        <v>108</v>
      </c>
      <c r="C46" s="39"/>
      <c r="D46" s="39" t="s">
        <v>109</v>
      </c>
      <c r="E46" s="39"/>
      <c r="F46" s="39"/>
      <c r="G46" s="39"/>
      <c r="H46" s="39" t="s">
        <v>110</v>
      </c>
      <c r="I46" s="39"/>
      <c r="J46" s="40" t="n">
        <v>3</v>
      </c>
      <c r="K46" s="41" t="n">
        <v>3789</v>
      </c>
      <c r="L46" s="42" t="n">
        <v>0.6</v>
      </c>
    </row>
    <row r="47" customFormat="false" ht="25.5" hidden="false" customHeight="true" outlineLevel="0" collapsed="false">
      <c r="A47" s="38" t="s">
        <v>111</v>
      </c>
      <c r="B47" s="39" t="s">
        <v>112</v>
      </c>
      <c r="C47" s="39"/>
      <c r="D47" s="39" t="s">
        <v>113</v>
      </c>
      <c r="E47" s="39"/>
      <c r="F47" s="39"/>
      <c r="G47" s="39"/>
      <c r="H47" s="39" t="s">
        <v>114</v>
      </c>
      <c r="I47" s="39"/>
      <c r="J47" s="40" t="n">
        <v>11</v>
      </c>
      <c r="K47" s="41" t="n">
        <v>7601</v>
      </c>
      <c r="L47" s="42" t="n">
        <v>5.28</v>
      </c>
    </row>
    <row r="48" customFormat="false" ht="25.5" hidden="false" customHeight="true" outlineLevel="0" collapsed="false">
      <c r="A48" s="38" t="s">
        <v>115</v>
      </c>
      <c r="B48" s="39" t="s">
        <v>116</v>
      </c>
      <c r="C48" s="39"/>
      <c r="D48" s="39" t="s">
        <v>117</v>
      </c>
      <c r="E48" s="39"/>
      <c r="F48" s="39"/>
      <c r="G48" s="39"/>
      <c r="H48" s="39" t="s">
        <v>118</v>
      </c>
      <c r="I48" s="39"/>
      <c r="J48" s="40" t="n">
        <v>1</v>
      </c>
      <c r="K48" s="41" t="n">
        <v>615</v>
      </c>
      <c r="L48" s="42" t="n">
        <v>0.48</v>
      </c>
    </row>
    <row r="49" customFormat="false" ht="25.5" hidden="false" customHeight="true" outlineLevel="0" collapsed="false">
      <c r="A49" s="38" t="s">
        <v>119</v>
      </c>
      <c r="B49" s="39" t="s">
        <v>120</v>
      </c>
      <c r="C49" s="39"/>
      <c r="D49" s="39" t="s">
        <v>121</v>
      </c>
      <c r="E49" s="39"/>
      <c r="F49" s="39"/>
      <c r="G49" s="39"/>
      <c r="H49" s="39" t="s">
        <v>122</v>
      </c>
      <c r="I49" s="39"/>
      <c r="J49" s="40" t="n">
        <v>1</v>
      </c>
      <c r="K49" s="41" t="n">
        <v>1741</v>
      </c>
      <c r="L49" s="42" t="n">
        <v>0.27</v>
      </c>
    </row>
    <row r="50" customFormat="false" ht="25.5" hidden="false" customHeight="true" outlineLevel="0" collapsed="false">
      <c r="A50" s="38" t="s">
        <v>123</v>
      </c>
      <c r="B50" s="39" t="s">
        <v>124</v>
      </c>
      <c r="C50" s="39"/>
      <c r="D50" s="39" t="s">
        <v>125</v>
      </c>
      <c r="E50" s="39"/>
      <c r="F50" s="39"/>
      <c r="G50" s="39"/>
      <c r="H50" s="39" t="s">
        <v>126</v>
      </c>
      <c r="I50" s="39"/>
      <c r="J50" s="40" t="n">
        <v>12</v>
      </c>
      <c r="K50" s="41" t="n">
        <v>19404</v>
      </c>
      <c r="L50" s="42" t="n">
        <v>5.16</v>
      </c>
    </row>
    <row r="51" customFormat="false" ht="25.5" hidden="false" customHeight="true" outlineLevel="0" collapsed="false">
      <c r="A51" s="38" t="s">
        <v>127</v>
      </c>
      <c r="B51" s="39" t="s">
        <v>128</v>
      </c>
      <c r="C51" s="39"/>
      <c r="D51" s="39" t="s">
        <v>129</v>
      </c>
      <c r="E51" s="39"/>
      <c r="F51" s="39"/>
      <c r="G51" s="39"/>
      <c r="H51" s="39" t="s">
        <v>130</v>
      </c>
      <c r="I51" s="39"/>
      <c r="J51" s="40" t="n">
        <v>2</v>
      </c>
      <c r="K51" s="41" t="n">
        <v>20522</v>
      </c>
      <c r="L51" s="42" t="n">
        <v>0.86</v>
      </c>
      <c r="M51" s="45" t="n">
        <f aca="false">K51/J51</f>
        <v>10261</v>
      </c>
    </row>
    <row r="52" customFormat="false" ht="25.5" hidden="false" customHeight="true" outlineLevel="0" collapsed="false">
      <c r="A52" s="38" t="s">
        <v>131</v>
      </c>
      <c r="B52" s="39" t="s">
        <v>132</v>
      </c>
      <c r="C52" s="39"/>
      <c r="D52" s="39" t="s">
        <v>133</v>
      </c>
      <c r="E52" s="39"/>
      <c r="F52" s="39"/>
      <c r="G52" s="39"/>
      <c r="H52" s="39" t="s">
        <v>134</v>
      </c>
      <c r="I52" s="39"/>
      <c r="J52" s="40" t="n">
        <v>1</v>
      </c>
      <c r="K52" s="41" t="n">
        <v>1335</v>
      </c>
      <c r="L52" s="42" t="n">
        <v>0.48</v>
      </c>
    </row>
    <row r="53" customFormat="false" ht="25.5" hidden="false" customHeight="true" outlineLevel="0" collapsed="false">
      <c r="A53" s="38" t="s">
        <v>135</v>
      </c>
      <c r="B53" s="39" t="s">
        <v>136</v>
      </c>
      <c r="C53" s="39"/>
      <c r="D53" s="39" t="s">
        <v>137</v>
      </c>
      <c r="E53" s="39"/>
      <c r="F53" s="39"/>
      <c r="G53" s="39"/>
      <c r="H53" s="39" t="s">
        <v>138</v>
      </c>
      <c r="I53" s="39"/>
      <c r="J53" s="40" t="n">
        <v>60</v>
      </c>
      <c r="K53" s="41" t="n">
        <v>37500</v>
      </c>
      <c r="L53" s="42" t="n">
        <v>11.4</v>
      </c>
    </row>
    <row r="54" customFormat="false" ht="25.5" hidden="false" customHeight="true" outlineLevel="0" collapsed="false">
      <c r="A54" s="38" t="s">
        <v>139</v>
      </c>
      <c r="B54" s="39" t="s">
        <v>140</v>
      </c>
      <c r="C54" s="39"/>
      <c r="D54" s="39" t="s">
        <v>141</v>
      </c>
      <c r="E54" s="39"/>
      <c r="F54" s="39"/>
      <c r="G54" s="39"/>
      <c r="H54" s="39" t="s">
        <v>142</v>
      </c>
      <c r="I54" s="39"/>
      <c r="J54" s="40" t="n">
        <v>1</v>
      </c>
      <c r="K54" s="41" t="n">
        <v>689</v>
      </c>
      <c r="L54" s="42" t="n">
        <v>0.3</v>
      </c>
    </row>
    <row r="55" customFormat="false" ht="15" hidden="false" customHeight="false" outlineLevel="0" collapsed="false">
      <c r="A55" s="22"/>
      <c r="B55" s="24"/>
      <c r="C55" s="24"/>
      <c r="D55" s="24"/>
      <c r="E55" s="24"/>
      <c r="F55" s="24"/>
      <c r="G55" s="24"/>
      <c r="H55" s="24"/>
      <c r="I55" s="24"/>
      <c r="J55" s="24"/>
      <c r="K55" s="46" t="n">
        <f aca="false">SUM(K28:K54)</f>
        <v>145205</v>
      </c>
      <c r="L55" s="47" t="n">
        <f aca="false">SUM(L28:L54)</f>
        <v>41.81</v>
      </c>
    </row>
    <row r="56" customFormat="false" ht="15" hidden="false" customHeight="false" outlineLevel="0" collapsed="false">
      <c r="A56" s="35" t="s">
        <v>143</v>
      </c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7"/>
    </row>
    <row r="57" customFormat="false" ht="25.5" hidden="false" customHeight="true" outlineLevel="0" collapsed="false">
      <c r="A57" s="38" t="s">
        <v>34</v>
      </c>
      <c r="B57" s="39" t="s">
        <v>144</v>
      </c>
      <c r="C57" s="39"/>
      <c r="D57" s="39" t="s">
        <v>145</v>
      </c>
      <c r="E57" s="39"/>
      <c r="F57" s="39"/>
      <c r="G57" s="39"/>
      <c r="H57" s="39" t="s">
        <v>146</v>
      </c>
      <c r="I57" s="39"/>
      <c r="J57" s="40" t="n">
        <v>1</v>
      </c>
      <c r="K57" s="41" t="n">
        <v>15923</v>
      </c>
      <c r="L57" s="42" t="n">
        <v>0</v>
      </c>
    </row>
    <row r="58" customFormat="false" ht="25.5" hidden="false" customHeight="true" outlineLevel="0" collapsed="false">
      <c r="A58" s="38" t="s">
        <v>38</v>
      </c>
      <c r="B58" s="39" t="s">
        <v>39</v>
      </c>
      <c r="C58" s="39"/>
      <c r="D58" s="39" t="s">
        <v>40</v>
      </c>
      <c r="E58" s="39"/>
      <c r="F58" s="39"/>
      <c r="G58" s="39"/>
      <c r="H58" s="39" t="s">
        <v>41</v>
      </c>
      <c r="I58" s="39"/>
      <c r="J58" s="40" t="n">
        <v>1</v>
      </c>
      <c r="K58" s="41" t="n">
        <v>614</v>
      </c>
      <c r="L58" s="42" t="n">
        <v>0</v>
      </c>
    </row>
    <row r="59" customFormat="false" ht="25.5" hidden="false" customHeight="true" outlineLevel="0" collapsed="false">
      <c r="A59" s="38" t="s">
        <v>42</v>
      </c>
      <c r="B59" s="39" t="s">
        <v>43</v>
      </c>
      <c r="C59" s="39"/>
      <c r="D59" s="39" t="s">
        <v>44</v>
      </c>
      <c r="E59" s="39"/>
      <c r="F59" s="39"/>
      <c r="G59" s="39"/>
      <c r="H59" s="39" t="s">
        <v>45</v>
      </c>
      <c r="I59" s="39"/>
      <c r="J59" s="40" t="n">
        <v>1</v>
      </c>
      <c r="K59" s="41" t="n">
        <v>728</v>
      </c>
      <c r="L59" s="42" t="n">
        <v>0</v>
      </c>
    </row>
    <row r="60" customFormat="false" ht="25.5" hidden="false" customHeight="true" outlineLevel="0" collapsed="false">
      <c r="A60" s="38" t="s">
        <v>46</v>
      </c>
      <c r="B60" s="39" t="s">
        <v>147</v>
      </c>
      <c r="C60" s="39"/>
      <c r="D60" s="39" t="s">
        <v>148</v>
      </c>
      <c r="E60" s="39"/>
      <c r="F60" s="39"/>
      <c r="G60" s="39"/>
      <c r="H60" s="39" t="s">
        <v>149</v>
      </c>
      <c r="I60" s="39"/>
      <c r="J60" s="40" t="n">
        <v>2</v>
      </c>
      <c r="K60" s="41" t="n">
        <v>858</v>
      </c>
      <c r="L60" s="42" t="n">
        <v>0</v>
      </c>
    </row>
    <row r="61" customFormat="false" ht="25.5" hidden="false" customHeight="true" outlineLevel="0" collapsed="false">
      <c r="A61" s="38" t="s">
        <v>50</v>
      </c>
      <c r="B61" s="39" t="s">
        <v>51</v>
      </c>
      <c r="C61" s="39"/>
      <c r="D61" s="39" t="s">
        <v>52</v>
      </c>
      <c r="E61" s="39"/>
      <c r="F61" s="39"/>
      <c r="G61" s="39"/>
      <c r="H61" s="39" t="s">
        <v>53</v>
      </c>
      <c r="I61" s="39"/>
      <c r="J61" s="40" t="n">
        <v>1</v>
      </c>
      <c r="K61" s="41" t="n">
        <v>197</v>
      </c>
      <c r="L61" s="42" t="n">
        <v>0</v>
      </c>
    </row>
    <row r="62" customFormat="false" ht="25.5" hidden="false" customHeight="true" outlineLevel="0" collapsed="false">
      <c r="A62" s="38" t="s">
        <v>54</v>
      </c>
      <c r="B62" s="39" t="s">
        <v>150</v>
      </c>
      <c r="C62" s="39"/>
      <c r="D62" s="39" t="s">
        <v>151</v>
      </c>
      <c r="E62" s="39"/>
      <c r="F62" s="39"/>
      <c r="G62" s="39"/>
      <c r="H62" s="39" t="s">
        <v>152</v>
      </c>
      <c r="I62" s="39"/>
      <c r="J62" s="43" t="n">
        <v>13</v>
      </c>
      <c r="K62" s="41" t="n">
        <v>1313</v>
      </c>
      <c r="L62" s="42" t="n">
        <v>0</v>
      </c>
    </row>
    <row r="63" customFormat="false" ht="25.5" hidden="false" customHeight="true" outlineLevel="0" collapsed="false">
      <c r="A63" s="38" t="s">
        <v>58</v>
      </c>
      <c r="B63" s="39" t="s">
        <v>59</v>
      </c>
      <c r="C63" s="39"/>
      <c r="D63" s="39" t="s">
        <v>60</v>
      </c>
      <c r="E63" s="39"/>
      <c r="F63" s="39"/>
      <c r="G63" s="39"/>
      <c r="H63" s="39" t="s">
        <v>61</v>
      </c>
      <c r="I63" s="39"/>
      <c r="J63" s="40" t="n">
        <v>13</v>
      </c>
      <c r="K63" s="41" t="n">
        <v>1144</v>
      </c>
      <c r="L63" s="42" t="n">
        <v>0</v>
      </c>
    </row>
    <row r="64" customFormat="false" ht="25.5" hidden="false" customHeight="true" outlineLevel="0" collapsed="false">
      <c r="A64" s="38" t="s">
        <v>62</v>
      </c>
      <c r="B64" s="39" t="s">
        <v>153</v>
      </c>
      <c r="C64" s="39"/>
      <c r="D64" s="39" t="s">
        <v>154</v>
      </c>
      <c r="E64" s="39"/>
      <c r="F64" s="39"/>
      <c r="G64" s="39"/>
      <c r="H64" s="39" t="s">
        <v>155</v>
      </c>
      <c r="I64" s="39"/>
      <c r="J64" s="40" t="n">
        <v>13</v>
      </c>
      <c r="K64" s="41" t="n">
        <v>4667</v>
      </c>
      <c r="L64" s="42" t="n">
        <v>0</v>
      </c>
    </row>
    <row r="65" customFormat="false" ht="25.5" hidden="false" customHeight="true" outlineLevel="0" collapsed="false">
      <c r="A65" s="38" t="s">
        <v>66</v>
      </c>
      <c r="B65" s="39" t="s">
        <v>71</v>
      </c>
      <c r="C65" s="39"/>
      <c r="D65" s="39" t="s">
        <v>72</v>
      </c>
      <c r="E65" s="39"/>
      <c r="F65" s="39"/>
      <c r="G65" s="39"/>
      <c r="H65" s="39" t="s">
        <v>73</v>
      </c>
      <c r="I65" s="39"/>
      <c r="J65" s="43" t="n">
        <v>55</v>
      </c>
      <c r="K65" s="41" t="n">
        <v>1155</v>
      </c>
      <c r="L65" s="42" t="n">
        <v>0</v>
      </c>
    </row>
    <row r="66" customFormat="false" ht="15" hidden="false" customHeight="false" outlineLevel="0" collapsed="false">
      <c r="A66" s="22"/>
      <c r="B66" s="24"/>
      <c r="C66" s="24"/>
      <c r="D66" s="24"/>
      <c r="E66" s="24"/>
      <c r="F66" s="24"/>
      <c r="G66" s="24"/>
      <c r="H66" s="24"/>
      <c r="I66" s="24"/>
      <c r="J66" s="24"/>
      <c r="K66" s="46" t="n">
        <f aca="false">SUM(K57:K65)</f>
        <v>26599</v>
      </c>
      <c r="L66" s="47" t="n">
        <f aca="false">SUM(L57:L65)</f>
        <v>0</v>
      </c>
    </row>
    <row r="67" customFormat="false" ht="15" hidden="false" customHeight="false" outlineLevel="0" collapsed="false">
      <c r="A67" s="35" t="s">
        <v>156</v>
      </c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7"/>
    </row>
    <row r="68" customFormat="false" ht="25.5" hidden="false" customHeight="true" outlineLevel="0" collapsed="false">
      <c r="A68" s="38" t="s">
        <v>34</v>
      </c>
      <c r="B68" s="39" t="s">
        <v>157</v>
      </c>
      <c r="C68" s="39"/>
      <c r="D68" s="39" t="s">
        <v>158</v>
      </c>
      <c r="E68" s="39"/>
      <c r="F68" s="39"/>
      <c r="G68" s="39"/>
      <c r="H68" s="39" t="s">
        <v>159</v>
      </c>
      <c r="I68" s="39"/>
      <c r="J68" s="40" t="n">
        <v>1</v>
      </c>
      <c r="K68" s="41" t="n">
        <v>3082</v>
      </c>
      <c r="L68" s="42" t="n">
        <v>0</v>
      </c>
    </row>
    <row r="69" customFormat="false" ht="25.5" hidden="false" customHeight="true" outlineLevel="0" collapsed="false">
      <c r="A69" s="38" t="s">
        <v>38</v>
      </c>
      <c r="B69" s="39" t="s">
        <v>160</v>
      </c>
      <c r="C69" s="39"/>
      <c r="D69" s="39" t="s">
        <v>161</v>
      </c>
      <c r="E69" s="39"/>
      <c r="F69" s="39"/>
      <c r="G69" s="39"/>
      <c r="H69" s="39" t="s">
        <v>162</v>
      </c>
      <c r="I69" s="39"/>
      <c r="J69" s="40" t="n">
        <v>1</v>
      </c>
      <c r="K69" s="41" t="n">
        <v>1611</v>
      </c>
      <c r="L69" s="42" t="n">
        <v>0</v>
      </c>
    </row>
    <row r="70" customFormat="false" ht="25.5" hidden="false" customHeight="true" outlineLevel="0" collapsed="false">
      <c r="A70" s="38" t="s">
        <v>42</v>
      </c>
      <c r="B70" s="39" t="s">
        <v>163</v>
      </c>
      <c r="C70" s="39"/>
      <c r="D70" s="39" t="s">
        <v>164</v>
      </c>
      <c r="E70" s="39"/>
      <c r="F70" s="39"/>
      <c r="G70" s="39"/>
      <c r="H70" s="39" t="s">
        <v>165</v>
      </c>
      <c r="I70" s="39"/>
      <c r="J70" s="40" t="n">
        <v>1</v>
      </c>
      <c r="K70" s="41" t="n">
        <v>768</v>
      </c>
      <c r="L70" s="42" t="n">
        <v>0</v>
      </c>
    </row>
    <row r="71" customFormat="false" ht="25.5" hidden="false" customHeight="true" outlineLevel="0" collapsed="false">
      <c r="A71" s="38" t="s">
        <v>46</v>
      </c>
      <c r="B71" s="39" t="s">
        <v>166</v>
      </c>
      <c r="C71" s="39"/>
      <c r="D71" s="39" t="s">
        <v>167</v>
      </c>
      <c r="E71" s="39"/>
      <c r="F71" s="39"/>
      <c r="G71" s="39"/>
      <c r="H71" s="39" t="s">
        <v>168</v>
      </c>
      <c r="I71" s="39"/>
      <c r="J71" s="40" t="n">
        <v>1</v>
      </c>
      <c r="K71" s="41" t="n">
        <v>314</v>
      </c>
      <c r="L71" s="42" t="n">
        <v>0</v>
      </c>
    </row>
    <row r="72" customFormat="false" ht="25.5" hidden="false" customHeight="true" outlineLevel="0" collapsed="false">
      <c r="A72" s="38" t="s">
        <v>50</v>
      </c>
      <c r="B72" s="39" t="s">
        <v>169</v>
      </c>
      <c r="C72" s="39"/>
      <c r="D72" s="39" t="s">
        <v>170</v>
      </c>
      <c r="E72" s="39"/>
      <c r="F72" s="39"/>
      <c r="G72" s="39"/>
      <c r="H72" s="39" t="s">
        <v>171</v>
      </c>
      <c r="I72" s="39"/>
      <c r="J72" s="40" t="n">
        <v>1</v>
      </c>
      <c r="K72" s="41" t="n">
        <v>1587</v>
      </c>
      <c r="L72" s="42" t="n">
        <v>0</v>
      </c>
    </row>
    <row r="73" customFormat="false" ht="25.5" hidden="false" customHeight="true" outlineLevel="0" collapsed="false">
      <c r="A73" s="38" t="s">
        <v>54</v>
      </c>
      <c r="B73" s="39" t="s">
        <v>172</v>
      </c>
      <c r="C73" s="39"/>
      <c r="D73" s="39" t="s">
        <v>173</v>
      </c>
      <c r="E73" s="39"/>
      <c r="F73" s="39"/>
      <c r="G73" s="39"/>
      <c r="H73" s="39" t="s">
        <v>174</v>
      </c>
      <c r="I73" s="39"/>
      <c r="J73" s="40" t="n">
        <v>1</v>
      </c>
      <c r="K73" s="41" t="n">
        <v>403</v>
      </c>
      <c r="L73" s="42" t="n">
        <v>0</v>
      </c>
    </row>
    <row r="74" customFormat="false" ht="25.5" hidden="false" customHeight="true" outlineLevel="0" collapsed="false">
      <c r="A74" s="38" t="s">
        <v>58</v>
      </c>
      <c r="B74" s="39" t="s">
        <v>175</v>
      </c>
      <c r="C74" s="39"/>
      <c r="D74" s="39" t="s">
        <v>176</v>
      </c>
      <c r="E74" s="39"/>
      <c r="F74" s="39"/>
      <c r="G74" s="39"/>
      <c r="H74" s="39" t="s">
        <v>177</v>
      </c>
      <c r="I74" s="39"/>
      <c r="J74" s="40" t="n">
        <v>1</v>
      </c>
      <c r="K74" s="41" t="n">
        <v>2386</v>
      </c>
      <c r="L74" s="42" t="n">
        <v>0</v>
      </c>
    </row>
    <row r="75" customFormat="false" ht="25.5" hidden="false" customHeight="true" outlineLevel="0" collapsed="false">
      <c r="A75" s="38" t="s">
        <v>62</v>
      </c>
      <c r="B75" s="39" t="s">
        <v>51</v>
      </c>
      <c r="C75" s="39"/>
      <c r="D75" s="39" t="s">
        <v>52</v>
      </c>
      <c r="E75" s="39"/>
      <c r="F75" s="39"/>
      <c r="G75" s="39"/>
      <c r="H75" s="39" t="s">
        <v>53</v>
      </c>
      <c r="I75" s="39"/>
      <c r="J75" s="40" t="n">
        <v>1</v>
      </c>
      <c r="K75" s="41" t="n">
        <v>197</v>
      </c>
      <c r="L75" s="42" t="n">
        <v>0</v>
      </c>
    </row>
    <row r="76" customFormat="false" ht="25.5" hidden="false" customHeight="true" outlineLevel="0" collapsed="false">
      <c r="A76" s="38" t="s">
        <v>66</v>
      </c>
      <c r="B76" s="39" t="s">
        <v>178</v>
      </c>
      <c r="C76" s="39"/>
      <c r="D76" s="39" t="s">
        <v>179</v>
      </c>
      <c r="E76" s="39"/>
      <c r="F76" s="39"/>
      <c r="G76" s="39"/>
      <c r="H76" s="39" t="s">
        <v>180</v>
      </c>
      <c r="I76" s="39"/>
      <c r="J76" s="40" t="n">
        <v>1</v>
      </c>
      <c r="K76" s="41" t="n">
        <v>271</v>
      </c>
      <c r="L76" s="42" t="n">
        <v>0</v>
      </c>
    </row>
    <row r="77" customFormat="false" ht="25.5" hidden="false" customHeight="true" outlineLevel="0" collapsed="false">
      <c r="A77" s="38" t="s">
        <v>70</v>
      </c>
      <c r="B77" s="39" t="s">
        <v>100</v>
      </c>
      <c r="C77" s="39"/>
      <c r="D77" s="39" t="s">
        <v>101</v>
      </c>
      <c r="E77" s="39"/>
      <c r="F77" s="39"/>
      <c r="G77" s="39"/>
      <c r="H77" s="39" t="s">
        <v>102</v>
      </c>
      <c r="I77" s="39"/>
      <c r="J77" s="43" t="n">
        <v>2</v>
      </c>
      <c r="K77" s="41" t="n">
        <v>204</v>
      </c>
      <c r="L77" s="42" t="n">
        <v>0.04</v>
      </c>
    </row>
    <row r="78" customFormat="false" ht="25.5" hidden="false" customHeight="true" outlineLevel="0" collapsed="false">
      <c r="A78" s="38" t="s">
        <v>74</v>
      </c>
      <c r="B78" s="39" t="s">
        <v>181</v>
      </c>
      <c r="C78" s="39"/>
      <c r="D78" s="39" t="s">
        <v>182</v>
      </c>
      <c r="E78" s="39"/>
      <c r="F78" s="39"/>
      <c r="G78" s="39"/>
      <c r="H78" s="39" t="s">
        <v>183</v>
      </c>
      <c r="I78" s="39"/>
      <c r="J78" s="40" t="n">
        <v>4</v>
      </c>
      <c r="K78" s="41" t="n">
        <v>1984</v>
      </c>
      <c r="L78" s="42" t="n">
        <v>0.72</v>
      </c>
    </row>
    <row r="79" customFormat="false" ht="25.5" hidden="false" customHeight="true" outlineLevel="0" collapsed="false">
      <c r="A79" s="38" t="s">
        <v>78</v>
      </c>
      <c r="B79" s="39" t="s">
        <v>184</v>
      </c>
      <c r="C79" s="39"/>
      <c r="D79" s="39" t="s">
        <v>185</v>
      </c>
      <c r="E79" s="39"/>
      <c r="F79" s="39"/>
      <c r="G79" s="39"/>
      <c r="H79" s="39" t="s">
        <v>186</v>
      </c>
      <c r="I79" s="39"/>
      <c r="J79" s="43" t="n">
        <v>7</v>
      </c>
      <c r="K79" s="41" t="n">
        <v>882</v>
      </c>
      <c r="L79" s="42" t="n">
        <v>0</v>
      </c>
    </row>
    <row r="80" customFormat="false" ht="25.5" hidden="false" customHeight="true" outlineLevel="0" collapsed="false">
      <c r="A80" s="38" t="s">
        <v>82</v>
      </c>
      <c r="B80" s="39" t="s">
        <v>59</v>
      </c>
      <c r="C80" s="39"/>
      <c r="D80" s="39" t="s">
        <v>60</v>
      </c>
      <c r="E80" s="39"/>
      <c r="F80" s="39"/>
      <c r="G80" s="39"/>
      <c r="H80" s="39" t="s">
        <v>61</v>
      </c>
      <c r="I80" s="39"/>
      <c r="J80" s="40" t="n">
        <v>7</v>
      </c>
      <c r="K80" s="41" t="n">
        <v>616</v>
      </c>
      <c r="L80" s="42" t="n">
        <v>0</v>
      </c>
    </row>
    <row r="81" customFormat="false" ht="25.5" hidden="false" customHeight="true" outlineLevel="0" collapsed="false">
      <c r="A81" s="38" t="s">
        <v>86</v>
      </c>
      <c r="B81" s="39" t="s">
        <v>187</v>
      </c>
      <c r="C81" s="39"/>
      <c r="D81" s="39" t="s">
        <v>188</v>
      </c>
      <c r="E81" s="39"/>
      <c r="F81" s="39"/>
      <c r="G81" s="39"/>
      <c r="H81" s="39" t="s">
        <v>189</v>
      </c>
      <c r="I81" s="39"/>
      <c r="J81" s="40" t="n">
        <v>5</v>
      </c>
      <c r="K81" s="41" t="n">
        <v>2230</v>
      </c>
      <c r="L81" s="42" t="n">
        <v>0</v>
      </c>
    </row>
    <row r="82" customFormat="false" ht="25.5" hidden="false" customHeight="true" outlineLevel="0" collapsed="false">
      <c r="A82" s="38" t="s">
        <v>90</v>
      </c>
      <c r="B82" s="39" t="s">
        <v>190</v>
      </c>
      <c r="C82" s="39"/>
      <c r="D82" s="39" t="s">
        <v>191</v>
      </c>
      <c r="E82" s="39"/>
      <c r="F82" s="39"/>
      <c r="G82" s="39"/>
      <c r="H82" s="39" t="s">
        <v>192</v>
      </c>
      <c r="I82" s="39"/>
      <c r="J82" s="40" t="n">
        <v>2</v>
      </c>
      <c r="K82" s="41" t="n">
        <v>776</v>
      </c>
      <c r="L82" s="42" t="n">
        <v>0</v>
      </c>
    </row>
    <row r="83" customFormat="false" ht="25.5" hidden="false" customHeight="true" outlineLevel="0" collapsed="false">
      <c r="A83" s="38" t="s">
        <v>95</v>
      </c>
      <c r="B83" s="39" t="s">
        <v>193</v>
      </c>
      <c r="C83" s="39"/>
      <c r="D83" s="39" t="s">
        <v>194</v>
      </c>
      <c r="E83" s="39"/>
      <c r="F83" s="39"/>
      <c r="G83" s="39"/>
      <c r="H83" s="39" t="s">
        <v>195</v>
      </c>
      <c r="I83" s="39"/>
      <c r="J83" s="40" t="n">
        <v>1</v>
      </c>
      <c r="K83" s="41" t="n">
        <v>348</v>
      </c>
      <c r="L83" s="42" t="n">
        <v>0</v>
      </c>
    </row>
    <row r="84" customFormat="false" ht="25.5" hidden="false" customHeight="true" outlineLevel="0" collapsed="false">
      <c r="A84" s="38" t="s">
        <v>99</v>
      </c>
      <c r="B84" s="39" t="s">
        <v>71</v>
      </c>
      <c r="C84" s="39"/>
      <c r="D84" s="39" t="s">
        <v>72</v>
      </c>
      <c r="E84" s="39"/>
      <c r="F84" s="39"/>
      <c r="G84" s="39"/>
      <c r="H84" s="39" t="s">
        <v>73</v>
      </c>
      <c r="I84" s="39"/>
      <c r="J84" s="43" t="n">
        <v>16</v>
      </c>
      <c r="K84" s="41" t="n">
        <v>336</v>
      </c>
      <c r="L84" s="42" t="n">
        <v>0</v>
      </c>
    </row>
    <row r="85" customFormat="false" ht="25.5" hidden="false" customHeight="true" outlineLevel="0" collapsed="false">
      <c r="A85" s="38" t="s">
        <v>103</v>
      </c>
      <c r="B85" s="39" t="s">
        <v>79</v>
      </c>
      <c r="C85" s="39"/>
      <c r="D85" s="39" t="s">
        <v>80</v>
      </c>
      <c r="E85" s="39"/>
      <c r="F85" s="39"/>
      <c r="G85" s="39"/>
      <c r="H85" s="39" t="s">
        <v>81</v>
      </c>
      <c r="I85" s="39"/>
      <c r="J85" s="40" t="n">
        <v>1</v>
      </c>
      <c r="K85" s="41" t="n">
        <v>204</v>
      </c>
      <c r="L85" s="42" t="n">
        <v>0.16</v>
      </c>
    </row>
    <row r="86" customFormat="false" ht="25.5" hidden="false" customHeight="true" outlineLevel="0" collapsed="false">
      <c r="A86" s="38" t="s">
        <v>107</v>
      </c>
      <c r="B86" s="39" t="s">
        <v>196</v>
      </c>
      <c r="C86" s="39"/>
      <c r="D86" s="39" t="s">
        <v>197</v>
      </c>
      <c r="E86" s="39"/>
      <c r="F86" s="39"/>
      <c r="G86" s="39"/>
      <c r="H86" s="39" t="s">
        <v>198</v>
      </c>
      <c r="I86" s="39"/>
      <c r="J86" s="40" t="n">
        <v>2</v>
      </c>
      <c r="K86" s="41" t="n">
        <v>912</v>
      </c>
      <c r="L86" s="42" t="n">
        <v>0.82</v>
      </c>
    </row>
    <row r="87" customFormat="false" ht="25.5" hidden="false" customHeight="true" outlineLevel="0" collapsed="false">
      <c r="A87" s="38" t="s">
        <v>111</v>
      </c>
      <c r="B87" s="39" t="s">
        <v>83</v>
      </c>
      <c r="C87" s="39"/>
      <c r="D87" s="39" t="s">
        <v>84</v>
      </c>
      <c r="E87" s="39"/>
      <c r="F87" s="39"/>
      <c r="G87" s="39"/>
      <c r="H87" s="39" t="s">
        <v>85</v>
      </c>
      <c r="I87" s="39"/>
      <c r="J87" s="40" t="n">
        <v>2</v>
      </c>
      <c r="K87" s="41" t="n">
        <v>1346</v>
      </c>
      <c r="L87" s="42" t="n">
        <v>0.96</v>
      </c>
    </row>
    <row r="88" customFormat="false" ht="25.5" hidden="false" customHeight="true" outlineLevel="0" collapsed="false">
      <c r="A88" s="38" t="s">
        <v>115</v>
      </c>
      <c r="B88" s="39" t="s">
        <v>112</v>
      </c>
      <c r="C88" s="39"/>
      <c r="D88" s="39" t="s">
        <v>113</v>
      </c>
      <c r="E88" s="39"/>
      <c r="F88" s="39"/>
      <c r="G88" s="39"/>
      <c r="H88" s="39" t="s">
        <v>114</v>
      </c>
      <c r="I88" s="39"/>
      <c r="J88" s="40" t="n">
        <v>3</v>
      </c>
      <c r="K88" s="41" t="n">
        <v>2073</v>
      </c>
      <c r="L88" s="42" t="n">
        <v>1.44</v>
      </c>
    </row>
    <row r="89" customFormat="false" ht="25.5" hidden="false" customHeight="true" outlineLevel="0" collapsed="false">
      <c r="A89" s="38" t="s">
        <v>119</v>
      </c>
      <c r="B89" s="39" t="s">
        <v>87</v>
      </c>
      <c r="C89" s="39"/>
      <c r="D89" s="39" t="s">
        <v>88</v>
      </c>
      <c r="E89" s="39"/>
      <c r="F89" s="39"/>
      <c r="G89" s="39"/>
      <c r="H89" s="39" t="s">
        <v>89</v>
      </c>
      <c r="I89" s="39"/>
      <c r="J89" s="40" t="n">
        <v>11</v>
      </c>
      <c r="K89" s="41" t="n">
        <v>1507</v>
      </c>
      <c r="L89" s="42" t="n">
        <v>1.76</v>
      </c>
    </row>
    <row r="90" customFormat="false" ht="25.5" hidden="false" customHeight="true" outlineLevel="0" collapsed="false">
      <c r="A90" s="38" t="s">
        <v>123</v>
      </c>
      <c r="B90" s="39" t="s">
        <v>116</v>
      </c>
      <c r="C90" s="39"/>
      <c r="D90" s="39" t="s">
        <v>117</v>
      </c>
      <c r="E90" s="39"/>
      <c r="F90" s="39"/>
      <c r="G90" s="39"/>
      <c r="H90" s="39" t="s">
        <v>118</v>
      </c>
      <c r="I90" s="39"/>
      <c r="J90" s="40" t="n">
        <v>3</v>
      </c>
      <c r="K90" s="41" t="n">
        <v>1845</v>
      </c>
      <c r="L90" s="42" t="n">
        <v>1.44</v>
      </c>
    </row>
    <row r="91" customFormat="false" ht="25.5" hidden="false" customHeight="true" outlineLevel="0" collapsed="false">
      <c r="A91" s="38" t="s">
        <v>127</v>
      </c>
      <c r="B91" s="39" t="s">
        <v>91</v>
      </c>
      <c r="C91" s="39"/>
      <c r="D91" s="39" t="s">
        <v>92</v>
      </c>
      <c r="E91" s="39"/>
      <c r="F91" s="39"/>
      <c r="G91" s="39"/>
      <c r="H91" s="39" t="s">
        <v>93</v>
      </c>
      <c r="I91" s="39"/>
      <c r="J91" s="40" t="n">
        <v>4</v>
      </c>
      <c r="K91" s="41" t="n">
        <v>632</v>
      </c>
      <c r="L91" s="42" t="n">
        <v>0.64</v>
      </c>
    </row>
    <row r="92" customFormat="false" ht="25.5" hidden="false" customHeight="true" outlineLevel="0" collapsed="false">
      <c r="A92" s="38" t="s">
        <v>131</v>
      </c>
      <c r="B92" s="39" t="s">
        <v>128</v>
      </c>
      <c r="C92" s="39"/>
      <c r="D92" s="39" t="s">
        <v>129</v>
      </c>
      <c r="E92" s="39"/>
      <c r="F92" s="39"/>
      <c r="G92" s="39"/>
      <c r="H92" s="39" t="s">
        <v>130</v>
      </c>
      <c r="I92" s="39"/>
      <c r="J92" s="40" t="n">
        <v>2</v>
      </c>
      <c r="K92" s="41" t="n">
        <v>20522</v>
      </c>
      <c r="L92" s="42" t="n">
        <v>0.86</v>
      </c>
    </row>
    <row r="93" customFormat="false" ht="25.5" hidden="false" customHeight="true" outlineLevel="0" collapsed="false">
      <c r="A93" s="38" t="s">
        <v>135</v>
      </c>
      <c r="B93" s="39" t="s">
        <v>124</v>
      </c>
      <c r="C93" s="39"/>
      <c r="D93" s="39" t="s">
        <v>125</v>
      </c>
      <c r="E93" s="39"/>
      <c r="F93" s="39"/>
      <c r="G93" s="39"/>
      <c r="H93" s="39" t="s">
        <v>126</v>
      </c>
      <c r="I93" s="39"/>
      <c r="J93" s="40" t="n">
        <v>6</v>
      </c>
      <c r="K93" s="41" t="n">
        <v>9702</v>
      </c>
      <c r="L93" s="42" t="n">
        <v>2.58</v>
      </c>
    </row>
    <row r="94" customFormat="false" ht="25.5" hidden="false" customHeight="true" outlineLevel="0" collapsed="false">
      <c r="A94" s="38" t="s">
        <v>139</v>
      </c>
      <c r="B94" s="39" t="s">
        <v>199</v>
      </c>
      <c r="C94" s="39"/>
      <c r="D94" s="39" t="s">
        <v>200</v>
      </c>
      <c r="E94" s="39"/>
      <c r="F94" s="39"/>
      <c r="G94" s="39"/>
      <c r="H94" s="39" t="s">
        <v>201</v>
      </c>
      <c r="I94" s="39"/>
      <c r="J94" s="40" t="n">
        <v>1</v>
      </c>
      <c r="K94" s="41" t="n">
        <v>1993</v>
      </c>
      <c r="L94" s="42" t="n">
        <v>0.27</v>
      </c>
    </row>
    <row r="95" customFormat="false" ht="25.5" hidden="false" customHeight="true" outlineLevel="0" collapsed="false">
      <c r="A95" s="38" t="s">
        <v>202</v>
      </c>
      <c r="B95" s="39" t="s">
        <v>203</v>
      </c>
      <c r="C95" s="39"/>
      <c r="D95" s="39" t="s">
        <v>204</v>
      </c>
      <c r="E95" s="39"/>
      <c r="F95" s="39"/>
      <c r="G95" s="39"/>
      <c r="H95" s="39" t="s">
        <v>205</v>
      </c>
      <c r="I95" s="39"/>
      <c r="J95" s="40" t="n">
        <v>2</v>
      </c>
      <c r="K95" s="41" t="n">
        <v>1192</v>
      </c>
      <c r="L95" s="42" t="n">
        <v>0.6</v>
      </c>
    </row>
    <row r="96" customFormat="false" ht="25.5" hidden="false" customHeight="true" outlineLevel="0" collapsed="false">
      <c r="A96" s="38" t="s">
        <v>206</v>
      </c>
      <c r="B96" s="39" t="s">
        <v>136</v>
      </c>
      <c r="C96" s="39"/>
      <c r="D96" s="39" t="s">
        <v>137</v>
      </c>
      <c r="E96" s="39"/>
      <c r="F96" s="39"/>
      <c r="G96" s="39"/>
      <c r="H96" s="39" t="s">
        <v>138</v>
      </c>
      <c r="I96" s="39"/>
      <c r="J96" s="43" t="n">
        <v>5</v>
      </c>
      <c r="K96" s="41" t="n">
        <v>3125</v>
      </c>
      <c r="L96" s="42" t="n">
        <v>0.95</v>
      </c>
    </row>
    <row r="97" customFormat="false" ht="15" hidden="false" customHeight="false" outlineLevel="0" collapsed="false">
      <c r="A97" s="22"/>
      <c r="B97" s="24"/>
      <c r="C97" s="24"/>
      <c r="D97" s="24"/>
      <c r="E97" s="24"/>
      <c r="F97" s="24"/>
      <c r="G97" s="24"/>
      <c r="H97" s="24"/>
      <c r="I97" s="24"/>
      <c r="J97" s="24"/>
      <c r="K97" s="46" t="n">
        <f aca="false">SUM(K68:K96)</f>
        <v>63048</v>
      </c>
      <c r="L97" s="47" t="n">
        <f aca="false">SUM(L68:L96)</f>
        <v>13.24</v>
      </c>
    </row>
    <row r="98" customFormat="false" ht="15" hidden="false" customHeight="false" outlineLevel="0" collapsed="false">
      <c r="A98" s="35" t="s">
        <v>207</v>
      </c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7"/>
    </row>
    <row r="99" customFormat="false" ht="25.5" hidden="false" customHeight="true" outlineLevel="0" collapsed="false">
      <c r="A99" s="38" t="s">
        <v>34</v>
      </c>
      <c r="B99" s="39" t="s">
        <v>208</v>
      </c>
      <c r="C99" s="39"/>
      <c r="D99" s="39" t="s">
        <v>209</v>
      </c>
      <c r="E99" s="39"/>
      <c r="F99" s="39"/>
      <c r="G99" s="39"/>
      <c r="H99" s="39" t="s">
        <v>210</v>
      </c>
      <c r="I99" s="39"/>
      <c r="J99" s="40" t="n">
        <v>1</v>
      </c>
      <c r="K99" s="41" t="n">
        <v>2786</v>
      </c>
      <c r="L99" s="42" t="n">
        <v>0</v>
      </c>
    </row>
    <row r="100" customFormat="false" ht="25.5" hidden="false" customHeight="true" outlineLevel="0" collapsed="false">
      <c r="A100" s="38" t="s">
        <v>38</v>
      </c>
      <c r="B100" s="39" t="s">
        <v>211</v>
      </c>
      <c r="C100" s="39"/>
      <c r="D100" s="39" t="s">
        <v>212</v>
      </c>
      <c r="E100" s="39"/>
      <c r="F100" s="39"/>
      <c r="G100" s="39"/>
      <c r="H100" s="39" t="s">
        <v>213</v>
      </c>
      <c r="I100" s="39"/>
      <c r="J100" s="40" t="n">
        <v>1</v>
      </c>
      <c r="K100" s="41" t="n">
        <v>1120</v>
      </c>
      <c r="L100" s="42" t="n">
        <v>0</v>
      </c>
    </row>
    <row r="101" customFormat="false" ht="25.5" hidden="false" customHeight="true" outlineLevel="0" collapsed="false">
      <c r="A101" s="38" t="s">
        <v>42</v>
      </c>
      <c r="B101" s="39" t="s">
        <v>214</v>
      </c>
      <c r="C101" s="39"/>
      <c r="D101" s="39" t="s">
        <v>215</v>
      </c>
      <c r="E101" s="39"/>
      <c r="F101" s="39"/>
      <c r="G101" s="39"/>
      <c r="H101" s="39" t="s">
        <v>216</v>
      </c>
      <c r="I101" s="39"/>
      <c r="J101" s="40" t="n">
        <v>1</v>
      </c>
      <c r="K101" s="41" t="n">
        <v>418</v>
      </c>
      <c r="L101" s="42" t="n">
        <v>0</v>
      </c>
    </row>
    <row r="102" customFormat="false" ht="25.5" hidden="false" customHeight="true" outlineLevel="0" collapsed="false">
      <c r="A102" s="38" t="s">
        <v>46</v>
      </c>
      <c r="B102" s="39" t="s">
        <v>217</v>
      </c>
      <c r="C102" s="39"/>
      <c r="D102" s="39" t="s">
        <v>218</v>
      </c>
      <c r="E102" s="39"/>
      <c r="F102" s="39"/>
      <c r="G102" s="39"/>
      <c r="H102" s="39" t="s">
        <v>219</v>
      </c>
      <c r="I102" s="39"/>
      <c r="J102" s="40" t="n">
        <v>1</v>
      </c>
      <c r="K102" s="41" t="n">
        <v>200</v>
      </c>
      <c r="L102" s="42" t="n">
        <v>0</v>
      </c>
    </row>
    <row r="103" customFormat="false" ht="25.5" hidden="false" customHeight="true" outlineLevel="0" collapsed="false">
      <c r="A103" s="38" t="s">
        <v>50</v>
      </c>
      <c r="B103" s="39" t="s">
        <v>169</v>
      </c>
      <c r="C103" s="39"/>
      <c r="D103" s="39" t="s">
        <v>170</v>
      </c>
      <c r="E103" s="39"/>
      <c r="F103" s="39"/>
      <c r="G103" s="39"/>
      <c r="H103" s="39" t="s">
        <v>171</v>
      </c>
      <c r="I103" s="39"/>
      <c r="J103" s="40" t="n">
        <v>1</v>
      </c>
      <c r="K103" s="41" t="n">
        <v>1587</v>
      </c>
      <c r="L103" s="42" t="n">
        <v>0</v>
      </c>
    </row>
    <row r="104" customFormat="false" ht="25.5" hidden="false" customHeight="true" outlineLevel="0" collapsed="false">
      <c r="A104" s="38" t="s">
        <v>54</v>
      </c>
      <c r="B104" s="39" t="s">
        <v>172</v>
      </c>
      <c r="C104" s="39"/>
      <c r="D104" s="39" t="s">
        <v>173</v>
      </c>
      <c r="E104" s="39"/>
      <c r="F104" s="39"/>
      <c r="G104" s="39"/>
      <c r="H104" s="39" t="s">
        <v>174</v>
      </c>
      <c r="I104" s="39"/>
      <c r="J104" s="40" t="n">
        <v>1</v>
      </c>
      <c r="K104" s="41" t="n">
        <v>403</v>
      </c>
      <c r="L104" s="42" t="n">
        <v>0</v>
      </c>
    </row>
    <row r="105" customFormat="false" ht="25.5" hidden="false" customHeight="true" outlineLevel="0" collapsed="false">
      <c r="A105" s="38" t="s">
        <v>58</v>
      </c>
      <c r="B105" s="39" t="s">
        <v>220</v>
      </c>
      <c r="C105" s="39"/>
      <c r="D105" s="39" t="s">
        <v>221</v>
      </c>
      <c r="E105" s="39"/>
      <c r="F105" s="39"/>
      <c r="G105" s="39"/>
      <c r="H105" s="39" t="s">
        <v>222</v>
      </c>
      <c r="I105" s="39"/>
      <c r="J105" s="40" t="n">
        <v>1</v>
      </c>
      <c r="K105" s="41" t="n">
        <v>1703</v>
      </c>
      <c r="L105" s="42" t="n">
        <v>0</v>
      </c>
    </row>
    <row r="106" customFormat="false" ht="25.5" hidden="false" customHeight="true" outlineLevel="0" collapsed="false">
      <c r="A106" s="38" t="s">
        <v>62</v>
      </c>
      <c r="B106" s="39" t="s">
        <v>223</v>
      </c>
      <c r="C106" s="39"/>
      <c r="D106" s="39" t="s">
        <v>224</v>
      </c>
      <c r="E106" s="39"/>
      <c r="F106" s="39"/>
      <c r="G106" s="39"/>
      <c r="H106" s="39" t="s">
        <v>225</v>
      </c>
      <c r="I106" s="39"/>
      <c r="J106" s="40" t="n">
        <v>1</v>
      </c>
      <c r="K106" s="41" t="n">
        <v>188</v>
      </c>
      <c r="L106" s="42" t="n">
        <v>0</v>
      </c>
    </row>
    <row r="107" customFormat="false" ht="25.5" hidden="false" customHeight="true" outlineLevel="0" collapsed="false">
      <c r="A107" s="38" t="s">
        <v>66</v>
      </c>
      <c r="B107" s="39" t="s">
        <v>100</v>
      </c>
      <c r="C107" s="39"/>
      <c r="D107" s="39" t="s">
        <v>101</v>
      </c>
      <c r="E107" s="39"/>
      <c r="F107" s="39"/>
      <c r="G107" s="39"/>
      <c r="H107" s="39" t="s">
        <v>102</v>
      </c>
      <c r="I107" s="39"/>
      <c r="J107" s="43" t="n">
        <v>2</v>
      </c>
      <c r="K107" s="41" t="n">
        <v>204</v>
      </c>
      <c r="L107" s="42" t="n">
        <v>0.04</v>
      </c>
    </row>
    <row r="108" customFormat="false" ht="25.5" hidden="false" customHeight="true" outlineLevel="0" collapsed="false">
      <c r="A108" s="38" t="s">
        <v>70</v>
      </c>
      <c r="B108" s="39" t="s">
        <v>226</v>
      </c>
      <c r="C108" s="39"/>
      <c r="D108" s="39" t="s">
        <v>227</v>
      </c>
      <c r="E108" s="39"/>
      <c r="F108" s="39"/>
      <c r="G108" s="39"/>
      <c r="H108" s="39" t="s">
        <v>228</v>
      </c>
      <c r="I108" s="39"/>
      <c r="J108" s="40" t="n">
        <v>3</v>
      </c>
      <c r="K108" s="41" t="n">
        <v>573</v>
      </c>
      <c r="L108" s="42" t="n">
        <v>0.03</v>
      </c>
    </row>
    <row r="109" customFormat="false" ht="25.5" hidden="false" customHeight="true" outlineLevel="0" collapsed="false">
      <c r="A109" s="38" t="s">
        <v>74</v>
      </c>
      <c r="B109" s="39" t="s">
        <v>229</v>
      </c>
      <c r="C109" s="39"/>
      <c r="D109" s="39" t="s">
        <v>230</v>
      </c>
      <c r="E109" s="39"/>
      <c r="F109" s="39"/>
      <c r="G109" s="39"/>
      <c r="H109" s="39" t="s">
        <v>231</v>
      </c>
      <c r="I109" s="39"/>
      <c r="J109" s="43" t="n">
        <v>7</v>
      </c>
      <c r="K109" s="41" t="n">
        <v>651</v>
      </c>
      <c r="L109" s="42" t="n">
        <v>0</v>
      </c>
    </row>
    <row r="110" customFormat="false" ht="25.5" hidden="false" customHeight="true" outlineLevel="0" collapsed="false">
      <c r="A110" s="38" t="s">
        <v>78</v>
      </c>
      <c r="B110" s="39" t="s">
        <v>59</v>
      </c>
      <c r="C110" s="39"/>
      <c r="D110" s="39" t="s">
        <v>60</v>
      </c>
      <c r="E110" s="39"/>
      <c r="F110" s="39"/>
      <c r="G110" s="39"/>
      <c r="H110" s="39" t="s">
        <v>61</v>
      </c>
      <c r="I110" s="39"/>
      <c r="J110" s="40" t="n">
        <v>7</v>
      </c>
      <c r="K110" s="41" t="n">
        <v>616</v>
      </c>
      <c r="L110" s="42" t="n">
        <v>0</v>
      </c>
    </row>
    <row r="111" customFormat="false" ht="25.5" hidden="false" customHeight="true" outlineLevel="0" collapsed="false">
      <c r="A111" s="38" t="s">
        <v>82</v>
      </c>
      <c r="B111" s="39" t="s">
        <v>232</v>
      </c>
      <c r="C111" s="39"/>
      <c r="D111" s="39" t="s">
        <v>233</v>
      </c>
      <c r="E111" s="39"/>
      <c r="F111" s="39"/>
      <c r="G111" s="39"/>
      <c r="H111" s="39" t="s">
        <v>234</v>
      </c>
      <c r="I111" s="39"/>
      <c r="J111" s="40" t="n">
        <v>7</v>
      </c>
      <c r="K111" s="41" t="n">
        <v>2016</v>
      </c>
      <c r="L111" s="42" t="n">
        <v>0</v>
      </c>
    </row>
    <row r="112" customFormat="false" ht="25.5" hidden="false" customHeight="true" outlineLevel="0" collapsed="false">
      <c r="A112" s="38" t="s">
        <v>86</v>
      </c>
      <c r="B112" s="39" t="s">
        <v>235</v>
      </c>
      <c r="C112" s="39"/>
      <c r="D112" s="39" t="s">
        <v>236</v>
      </c>
      <c r="E112" s="39"/>
      <c r="F112" s="39"/>
      <c r="G112" s="39"/>
      <c r="H112" s="39" t="s">
        <v>237</v>
      </c>
      <c r="I112" s="39"/>
      <c r="J112" s="40" t="n">
        <v>1</v>
      </c>
      <c r="K112" s="41" t="n">
        <v>249</v>
      </c>
      <c r="L112" s="42" t="n">
        <v>0</v>
      </c>
    </row>
    <row r="113" customFormat="false" ht="15" hidden="false" customHeight="false" outlineLevel="0" collapsed="false">
      <c r="A113" s="22"/>
      <c r="B113" s="24"/>
      <c r="C113" s="24"/>
      <c r="D113" s="24"/>
      <c r="E113" s="24"/>
      <c r="F113" s="24"/>
      <c r="G113" s="24"/>
      <c r="H113" s="24"/>
      <c r="I113" s="24"/>
      <c r="J113" s="24"/>
      <c r="K113" s="46" t="n">
        <f aca="false">SUM(K99:K112)</f>
        <v>12714</v>
      </c>
      <c r="L113" s="47" t="n">
        <f aca="false">SUM(L99:L112)</f>
        <v>0.07</v>
      </c>
    </row>
    <row r="114" customFormat="false" ht="21" hidden="false" customHeight="true" outlineLevel="0" collapsed="false">
      <c r="A114" s="48"/>
      <c r="B114" s="49" t="s">
        <v>238</v>
      </c>
      <c r="C114" s="50"/>
      <c r="D114" s="50"/>
      <c r="E114" s="50"/>
      <c r="F114" s="50"/>
      <c r="G114" s="50"/>
      <c r="H114" s="50"/>
      <c r="I114" s="50"/>
      <c r="J114" s="50"/>
      <c r="K114" s="51" t="n">
        <f aca="false">SUM(K28:K113)/2</f>
        <v>247566</v>
      </c>
      <c r="L114" s="52" t="n">
        <f aca="false">SUM(L28:L113)/2</f>
        <v>55.12</v>
      </c>
    </row>
    <row r="115" customFormat="false" ht="15" hidden="false" customHeight="false" outlineLevel="0" collapsed="false">
      <c r="A115" s="53"/>
      <c r="B115" s="54" t="s">
        <v>239</v>
      </c>
      <c r="C115" s="54"/>
      <c r="D115" s="54"/>
      <c r="E115" s="54"/>
      <c r="F115" s="54"/>
      <c r="G115" s="54"/>
      <c r="H115" s="54"/>
      <c r="I115" s="54"/>
      <c r="J115" s="54"/>
      <c r="K115" s="55" t="n">
        <f aca="false">K114*(21/100)</f>
        <v>51988.86</v>
      </c>
      <c r="L115" s="56" t="n">
        <f aca="false">L114*(21/100)</f>
        <v>11.5752</v>
      </c>
    </row>
    <row r="116" customFormat="false" ht="15" hidden="false" customHeight="false" outlineLevel="0" collapsed="false">
      <c r="A116" s="53"/>
      <c r="B116" s="57" t="s">
        <v>240</v>
      </c>
      <c r="C116" s="54"/>
      <c r="D116" s="54"/>
      <c r="E116" s="54"/>
      <c r="F116" s="54"/>
      <c r="G116" s="54"/>
      <c r="H116" s="54"/>
      <c r="I116" s="54"/>
      <c r="J116" s="54"/>
      <c r="K116" s="58" t="n">
        <f aca="false">K114+K115</f>
        <v>299554.86</v>
      </c>
      <c r="L116" s="59" t="n">
        <f aca="false">L114+L115</f>
        <v>66.6952</v>
      </c>
    </row>
    <row r="118" customFormat="false" ht="15" hidden="false" customHeight="false" outlineLevel="0" collapsed="false">
      <c r="A118" s="60" t="s">
        <v>241</v>
      </c>
    </row>
    <row r="119" customFormat="false" ht="15" hidden="false" customHeight="false" outlineLevel="0" collapsed="false">
      <c r="A119" s="1" t="s">
        <v>242</v>
      </c>
    </row>
    <row r="120" customFormat="false" ht="15" hidden="false" customHeight="false" outlineLevel="0" collapsed="false">
      <c r="A120" s="1" t="s">
        <v>243</v>
      </c>
    </row>
    <row r="121" customFormat="false" ht="15" hidden="false" customHeight="false" outlineLevel="0" collapsed="false">
      <c r="A121" s="1" t="s">
        <v>244</v>
      </c>
    </row>
  </sheetData>
  <mergeCells count="240">
    <mergeCell ref="B26:C26"/>
    <mergeCell ref="D26:G26"/>
    <mergeCell ref="H26:I26"/>
    <mergeCell ref="B28:C28"/>
    <mergeCell ref="D28:G28"/>
    <mergeCell ref="H28:I28"/>
    <mergeCell ref="B29:C29"/>
    <mergeCell ref="D29:G29"/>
    <mergeCell ref="H29:I29"/>
    <mergeCell ref="B30:C30"/>
    <mergeCell ref="D30:G30"/>
    <mergeCell ref="H30:I30"/>
    <mergeCell ref="B31:C31"/>
    <mergeCell ref="D31:G31"/>
    <mergeCell ref="H31:I31"/>
    <mergeCell ref="B32:C32"/>
    <mergeCell ref="D32:G32"/>
    <mergeCell ref="H32:I32"/>
    <mergeCell ref="B33:C33"/>
    <mergeCell ref="D33:G33"/>
    <mergeCell ref="H33:I33"/>
    <mergeCell ref="B34:C34"/>
    <mergeCell ref="D34:G34"/>
    <mergeCell ref="H34:I34"/>
    <mergeCell ref="B35:C35"/>
    <mergeCell ref="D35:G35"/>
    <mergeCell ref="H35:I35"/>
    <mergeCell ref="B36:C36"/>
    <mergeCell ref="D36:G36"/>
    <mergeCell ref="H36:I36"/>
    <mergeCell ref="B37:C37"/>
    <mergeCell ref="D37:G37"/>
    <mergeCell ref="H37:I37"/>
    <mergeCell ref="B38:C38"/>
    <mergeCell ref="D38:G38"/>
    <mergeCell ref="H38:I38"/>
    <mergeCell ref="B39:C39"/>
    <mergeCell ref="D39:G39"/>
    <mergeCell ref="H39:I39"/>
    <mergeCell ref="B40:C40"/>
    <mergeCell ref="D40:G40"/>
    <mergeCell ref="H40:I40"/>
    <mergeCell ref="B41:C41"/>
    <mergeCell ref="D41:G41"/>
    <mergeCell ref="H41:I41"/>
    <mergeCell ref="B42:C42"/>
    <mergeCell ref="D42:G42"/>
    <mergeCell ref="H42:I42"/>
    <mergeCell ref="B43:C43"/>
    <mergeCell ref="D43:G43"/>
    <mergeCell ref="H43:I43"/>
    <mergeCell ref="B44:C44"/>
    <mergeCell ref="D44:G44"/>
    <mergeCell ref="H44:I44"/>
    <mergeCell ref="B45:C45"/>
    <mergeCell ref="D45:G45"/>
    <mergeCell ref="H45:I45"/>
    <mergeCell ref="B46:C46"/>
    <mergeCell ref="D46:G46"/>
    <mergeCell ref="H46:I46"/>
    <mergeCell ref="B47:C47"/>
    <mergeCell ref="D47:G47"/>
    <mergeCell ref="H47:I47"/>
    <mergeCell ref="B48:C48"/>
    <mergeCell ref="D48:G48"/>
    <mergeCell ref="H48:I48"/>
    <mergeCell ref="B49:C49"/>
    <mergeCell ref="D49:G49"/>
    <mergeCell ref="H49:I49"/>
    <mergeCell ref="B50:C50"/>
    <mergeCell ref="D50:G50"/>
    <mergeCell ref="H50:I50"/>
    <mergeCell ref="B51:C51"/>
    <mergeCell ref="D51:G51"/>
    <mergeCell ref="H51:I51"/>
    <mergeCell ref="B52:C52"/>
    <mergeCell ref="D52:G52"/>
    <mergeCell ref="H52:I52"/>
    <mergeCell ref="B53:C53"/>
    <mergeCell ref="D53:G53"/>
    <mergeCell ref="H53:I53"/>
    <mergeCell ref="B54:C54"/>
    <mergeCell ref="D54:G54"/>
    <mergeCell ref="H54:I54"/>
    <mergeCell ref="B57:C57"/>
    <mergeCell ref="D57:G57"/>
    <mergeCell ref="H57:I57"/>
    <mergeCell ref="B58:C58"/>
    <mergeCell ref="D58:G58"/>
    <mergeCell ref="H58:I58"/>
    <mergeCell ref="B59:C59"/>
    <mergeCell ref="D59:G59"/>
    <mergeCell ref="H59:I59"/>
    <mergeCell ref="B60:C60"/>
    <mergeCell ref="D60:G60"/>
    <mergeCell ref="H60:I60"/>
    <mergeCell ref="B61:C61"/>
    <mergeCell ref="D61:G61"/>
    <mergeCell ref="H61:I61"/>
    <mergeCell ref="B62:C62"/>
    <mergeCell ref="D62:G62"/>
    <mergeCell ref="H62:I62"/>
    <mergeCell ref="B63:C63"/>
    <mergeCell ref="D63:G63"/>
    <mergeCell ref="H63:I63"/>
    <mergeCell ref="B64:C64"/>
    <mergeCell ref="D64:G64"/>
    <mergeCell ref="H64:I64"/>
    <mergeCell ref="B65:C65"/>
    <mergeCell ref="D65:G65"/>
    <mergeCell ref="H65:I65"/>
    <mergeCell ref="B68:C68"/>
    <mergeCell ref="D68:G68"/>
    <mergeCell ref="H68:I68"/>
    <mergeCell ref="B69:C69"/>
    <mergeCell ref="D69:G69"/>
    <mergeCell ref="H69:I69"/>
    <mergeCell ref="B70:C70"/>
    <mergeCell ref="D70:G70"/>
    <mergeCell ref="H70:I70"/>
    <mergeCell ref="B71:C71"/>
    <mergeCell ref="D71:G71"/>
    <mergeCell ref="H71:I71"/>
    <mergeCell ref="B72:C72"/>
    <mergeCell ref="D72:G72"/>
    <mergeCell ref="H72:I72"/>
    <mergeCell ref="B73:C73"/>
    <mergeCell ref="D73:G73"/>
    <mergeCell ref="H73:I73"/>
    <mergeCell ref="B74:C74"/>
    <mergeCell ref="D74:G74"/>
    <mergeCell ref="H74:I74"/>
    <mergeCell ref="B75:C75"/>
    <mergeCell ref="D75:G75"/>
    <mergeCell ref="H75:I75"/>
    <mergeCell ref="B76:C76"/>
    <mergeCell ref="D76:G76"/>
    <mergeCell ref="H76:I76"/>
    <mergeCell ref="B77:C77"/>
    <mergeCell ref="D77:G77"/>
    <mergeCell ref="H77:I77"/>
    <mergeCell ref="B78:C78"/>
    <mergeCell ref="D78:G78"/>
    <mergeCell ref="H78:I78"/>
    <mergeCell ref="B79:C79"/>
    <mergeCell ref="D79:G79"/>
    <mergeCell ref="H79:I79"/>
    <mergeCell ref="B80:C80"/>
    <mergeCell ref="D80:G80"/>
    <mergeCell ref="H80:I80"/>
    <mergeCell ref="B81:C81"/>
    <mergeCell ref="D81:G81"/>
    <mergeCell ref="H81:I81"/>
    <mergeCell ref="B82:C82"/>
    <mergeCell ref="D82:G82"/>
    <mergeCell ref="H82:I82"/>
    <mergeCell ref="B83:C83"/>
    <mergeCell ref="D83:G83"/>
    <mergeCell ref="H83:I83"/>
    <mergeCell ref="B84:C84"/>
    <mergeCell ref="D84:G84"/>
    <mergeCell ref="H84:I84"/>
    <mergeCell ref="B85:C85"/>
    <mergeCell ref="D85:G85"/>
    <mergeCell ref="H85:I85"/>
    <mergeCell ref="B86:C86"/>
    <mergeCell ref="D86:G86"/>
    <mergeCell ref="H86:I86"/>
    <mergeCell ref="B87:C87"/>
    <mergeCell ref="D87:G87"/>
    <mergeCell ref="H87:I87"/>
    <mergeCell ref="B88:C88"/>
    <mergeCell ref="D88:G88"/>
    <mergeCell ref="H88:I88"/>
    <mergeCell ref="B89:C89"/>
    <mergeCell ref="D89:G89"/>
    <mergeCell ref="H89:I89"/>
    <mergeCell ref="B90:C90"/>
    <mergeCell ref="D90:G90"/>
    <mergeCell ref="H90:I90"/>
    <mergeCell ref="B91:C91"/>
    <mergeCell ref="D91:G91"/>
    <mergeCell ref="H91:I91"/>
    <mergeCell ref="B92:C92"/>
    <mergeCell ref="D92:G92"/>
    <mergeCell ref="H92:I92"/>
    <mergeCell ref="B93:C93"/>
    <mergeCell ref="D93:G93"/>
    <mergeCell ref="H93:I93"/>
    <mergeCell ref="B94:C94"/>
    <mergeCell ref="D94:G94"/>
    <mergeCell ref="H94:I94"/>
    <mergeCell ref="B95:C95"/>
    <mergeCell ref="D95:G95"/>
    <mergeCell ref="H95:I95"/>
    <mergeCell ref="B96:C96"/>
    <mergeCell ref="D96:G96"/>
    <mergeCell ref="H96:I96"/>
    <mergeCell ref="B99:C99"/>
    <mergeCell ref="D99:G99"/>
    <mergeCell ref="H99:I99"/>
    <mergeCell ref="B100:C100"/>
    <mergeCell ref="D100:G100"/>
    <mergeCell ref="H100:I100"/>
    <mergeCell ref="B101:C101"/>
    <mergeCell ref="D101:G101"/>
    <mergeCell ref="H101:I101"/>
    <mergeCell ref="B102:C102"/>
    <mergeCell ref="D102:G102"/>
    <mergeCell ref="H102:I102"/>
    <mergeCell ref="B103:C103"/>
    <mergeCell ref="D103:G103"/>
    <mergeCell ref="H103:I103"/>
    <mergeCell ref="B104:C104"/>
    <mergeCell ref="D104:G104"/>
    <mergeCell ref="H104:I104"/>
    <mergeCell ref="B105:C105"/>
    <mergeCell ref="D105:G105"/>
    <mergeCell ref="H105:I105"/>
    <mergeCell ref="B106:C106"/>
    <mergeCell ref="D106:G106"/>
    <mergeCell ref="H106:I106"/>
    <mergeCell ref="B107:C107"/>
    <mergeCell ref="D107:G107"/>
    <mergeCell ref="H107:I107"/>
    <mergeCell ref="B108:C108"/>
    <mergeCell ref="D108:G108"/>
    <mergeCell ref="H108:I108"/>
    <mergeCell ref="B109:C109"/>
    <mergeCell ref="D109:G109"/>
    <mergeCell ref="H109:I109"/>
    <mergeCell ref="B110:C110"/>
    <mergeCell ref="D110:G110"/>
    <mergeCell ref="H110:I110"/>
    <mergeCell ref="B111:C111"/>
    <mergeCell ref="D111:G111"/>
    <mergeCell ref="H111:I111"/>
    <mergeCell ref="B112:C112"/>
    <mergeCell ref="D112:G112"/>
    <mergeCell ref="H112:I112"/>
  </mergeCells>
  <printOptions headings="false" gridLines="false" gridLinesSet="true" horizontalCentered="false" verticalCentered="false"/>
  <pageMargins left="0.275694444444444" right="0.196527777777778" top="0.590277777777778" bottom="0.590972222222222" header="0.511811023622047" footer="0.275694444444444"/>
  <pageSetup paperSize="9" scale="6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&amp;LDatum tisku  &amp;D&amp;RStrana  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2025-03-10T22:54:34Z</dcterms:created>
  <dc:creator>Elprojekt, Pavel Šupík</dc:creator>
  <dc:description>E-CONFIG 3.13.30 , Databáze: 2025.03.01</dc:description>
  <dc:language>en-US</dc:language>
  <cp:lastModifiedBy/>
  <dcterms:modified xsi:type="dcterms:W3CDTF">2025-03-24T23:34:02Z</dcterms:modified>
  <cp:revision>1</cp:revision>
  <dc:subject/>
  <dc:title>Rozpiska: CENOVÁ INFORMACE ()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