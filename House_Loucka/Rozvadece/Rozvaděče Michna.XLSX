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1" sheetId="1" r:id="rId1"/>
  </sheets>
  <definedNames>
    <definedName name="_xlnm.Print_Titles" localSheetId="0">List1!$26:$26</definedName>
  </definedNames>
  <calcPr fullCalcOnLoad="1"/>
</workbook>
</file>

<file path=xl/sharedStrings.xml><?xml version="1.0" encoding="utf-8"?>
<sst xmlns="http://schemas.openxmlformats.org/spreadsheetml/2006/main">
  <si>
    <t xml:space="preserve">CENOVÁ INFORMACE </t>
  </si>
  <si>
    <t>Návrh proveden programem E-CONFIG 3.13.5. Databáze 2024.09.01, platnost dat od 01.09.2024</t>
  </si>
  <si>
    <t>Zpracoval:</t>
  </si>
  <si>
    <t>Příjemce materiálu:</t>
  </si>
  <si>
    <t>Elprojekt</t>
  </si>
  <si>
    <t>Poděbradova 4</t>
  </si>
  <si>
    <t>741 01 Nový Jičín</t>
  </si>
  <si>
    <t xml:space="preserve"> </t>
  </si>
  <si>
    <t xml:space="preserve">IČO: </t>
  </si>
  <si>
    <t xml:space="preserve">DIČ: </t>
  </si>
  <si>
    <t xml:space="preserve">Banka: </t>
  </si>
  <si>
    <t xml:space="preserve">Číslo účtu: </t>
  </si>
  <si>
    <t>Pavel Šupík</t>
  </si>
  <si>
    <t xml:space="preserve">Telefon: </t>
  </si>
  <si>
    <t xml:space="preserve">E-mail: </t>
  </si>
  <si>
    <t>Soubory:</t>
  </si>
  <si>
    <t>Projekt:</t>
  </si>
  <si>
    <t>RH1 V1.ECFX</t>
  </si>
  <si>
    <t>RH1 V1.XLSX</t>
  </si>
  <si>
    <t>Poznámka:</t>
  </si>
  <si>
    <t>Datum:</t>
  </si>
  <si>
    <t>25.09.2024</t>
  </si>
  <si>
    <t>Sumarizovaný seznam</t>
  </si>
  <si>
    <t>Platnost: 30 dní (do 25.10.2024)</t>
  </si>
  <si>
    <t>(počty kusů NEBYLY zaokrouhleny na násobky základní objednací jednotky)</t>
  </si>
  <si>
    <t>Splatnost: 14 dní</t>
  </si>
  <si>
    <t>Poř.</t>
  </si>
  <si>
    <t>Popis</t>
  </si>
  <si>
    <t>Typové označení</t>
  </si>
  <si>
    <t>Objednací číslo</t>
  </si>
  <si>
    <t>Počet kusů celkem</t>
  </si>
  <si>
    <t>Celková koncová cena [Kč]</t>
  </si>
  <si>
    <t>Recyklační příspěvek [Kč]</t>
  </si>
  <si>
    <t>RH1, pole č.1</t>
  </si>
  <si>
    <t>1</t>
  </si>
  <si>
    <t>Rám s dveřmi, otočný plast.zámek, IP30, bílá, montáž POD omítku, ŠxV=1035x2060</t>
  </si>
  <si>
    <t>BP-U-3S-1000/20-W</t>
  </si>
  <si>
    <t>111208</t>
  </si>
  <si>
    <t>2</t>
  </si>
  <si>
    <t>Bočnice, V=1950, včetně západky BPZ-SNAP</t>
  </si>
  <si>
    <t>BPZ-MSW-20/SNAP</t>
  </si>
  <si>
    <t>112300</t>
  </si>
  <si>
    <t>3</t>
  </si>
  <si>
    <t>Ochranný kryt, montáž POD omítku, ŠxVxH=1035x2060x180</t>
  </si>
  <si>
    <t>BPZ-WB3S-1000/20/1</t>
  </si>
  <si>
    <t>111118</t>
  </si>
  <si>
    <t>4</t>
  </si>
  <si>
    <t>Schránka na dokumentaci A4</t>
  </si>
  <si>
    <t>LAB-BAG_A4</t>
  </si>
  <si>
    <t>107913</t>
  </si>
  <si>
    <t>5</t>
  </si>
  <si>
    <t>DIN lišta přístrojová hliníková, šířka skříně = 1000, šířka lišty = 888 (46 modulů)</t>
  </si>
  <si>
    <t>BPZ-DINR46-1000</t>
  </si>
  <si>
    <t>293597</t>
  </si>
  <si>
    <t>6</t>
  </si>
  <si>
    <t>Upevňovací úchytka s vodivým propojení (zelená)</t>
  </si>
  <si>
    <t>BEL01</t>
  </si>
  <si>
    <t>275200</t>
  </si>
  <si>
    <t>7</t>
  </si>
  <si>
    <t>Upevňovací úchytka celoplastová (bílá)</t>
  </si>
  <si>
    <t>BEL12</t>
  </si>
  <si>
    <t>275199</t>
  </si>
  <si>
    <t>8</t>
  </si>
  <si>
    <t>Krycí deska, s výřezem 45mm, plechová, bílá, Š=1000, V=150</t>
  </si>
  <si>
    <t>BPZ-FP-1000/150-45-W</t>
  </si>
  <si>
    <t>293533</t>
  </si>
  <si>
    <t>9</t>
  </si>
  <si>
    <t>Krycí deska, bez výřezu, plechová, bílá, Š=1000, V=150</t>
  </si>
  <si>
    <t>BPZ-FP-1000/150-BL-W</t>
  </si>
  <si>
    <t>293531</t>
  </si>
  <si>
    <t>10</t>
  </si>
  <si>
    <t>Záslepka pro výřezy 45mm, 12 modulů TE, bílá, lámatelná po 8,75mm (1/2TE)</t>
  </si>
  <si>
    <t>BS-12MB-WH</t>
  </si>
  <si>
    <t>178977</t>
  </si>
  <si>
    <t>11</t>
  </si>
  <si>
    <t>Svodič přepětí třídy T1+T2 (B+C), komplet, síť TN-S 3+1, pom.kontakt, Un=350V AC</t>
  </si>
  <si>
    <t>SPRT12-350/3+NPE-AX</t>
  </si>
  <si>
    <t>195236</t>
  </si>
  <si>
    <t>12</t>
  </si>
  <si>
    <t>Jistič PL7, char B, 1-pólový, Icn=10kA, In=6A</t>
  </si>
  <si>
    <t>PL7-B6/1</t>
  </si>
  <si>
    <t>262673</t>
  </si>
  <si>
    <t>13</t>
  </si>
  <si>
    <t>Jistič PL7, char B, 3-pólový, Icn=10kA, In=25A</t>
  </si>
  <si>
    <t>PL7-B25/3</t>
  </si>
  <si>
    <t>263391</t>
  </si>
  <si>
    <t>14</t>
  </si>
  <si>
    <t>Jistič PL7, char B, 3-pólový, Icn=10kA, In=16A</t>
  </si>
  <si>
    <t>PL7-B16/3</t>
  </si>
  <si>
    <t>263389</t>
  </si>
  <si>
    <t>15</t>
  </si>
  <si>
    <t>Jistič PL7, char B, 1-pólový, Icn=10kA, In=16A</t>
  </si>
  <si>
    <t>PL7-B16/1</t>
  </si>
  <si>
    <t>262676</t>
  </si>
  <si>
    <t>16</t>
  </si>
  <si>
    <t>Jistič PL7, char B, 1-pólový, Icn=10kA, In=10A</t>
  </si>
  <si>
    <t>PL7-B10/1</t>
  </si>
  <si>
    <t>262674</t>
  </si>
  <si>
    <t>17</t>
  </si>
  <si>
    <t>Jistič PL7, char B, 3-pólový, Icn=10kA, In=32A</t>
  </si>
  <si>
    <t>PL7-B32/3</t>
  </si>
  <si>
    <t>263392</t>
  </si>
  <si>
    <t>18</t>
  </si>
  <si>
    <t>Nosič svorkovnice KL-7…KL-60 na lištu, horizontální</t>
  </si>
  <si>
    <t>KT-3</t>
  </si>
  <si>
    <t>275445</t>
  </si>
  <si>
    <t>19</t>
  </si>
  <si>
    <t>Svorkovnice: Rozbočovací můstek N/PE 2x25+58x16mm2</t>
  </si>
  <si>
    <t>KL-60</t>
  </si>
  <si>
    <t>275451</t>
  </si>
  <si>
    <t>20</t>
  </si>
  <si>
    <t>Chránič Ir=3kA, typ G/B, 4-pól, Idn=0.03A, In=40A</t>
  </si>
  <si>
    <t>PFIM-40/4/003-XG/B</t>
  </si>
  <si>
    <t>300305</t>
  </si>
  <si>
    <t>21</t>
  </si>
  <si>
    <t>Proudový chránič FRC, typ AC, 4-pólový, Idn=0,03A, In=16A, Ir=250A</t>
  </si>
  <si>
    <t>FRCmM-16/4/003</t>
  </si>
  <si>
    <t>170409</t>
  </si>
  <si>
    <t>22</t>
  </si>
  <si>
    <t>Chránič s nadproudovou ochranou, Ir=250A+puls.SS, A, 1+N, 10kA, char.B, Idn=0.03A, In=10A</t>
  </si>
  <si>
    <t>PFL7-10/1N/B/003-A</t>
  </si>
  <si>
    <t>263435</t>
  </si>
  <si>
    <t>23</t>
  </si>
  <si>
    <t>Chránič s nadproudovou ochranou, Ir=250A+puls.SS, A, 1+N, 10kA, char.B, Idn=0.03A, In=16A</t>
  </si>
  <si>
    <t>PFL7-16/1N/B/003-A</t>
  </si>
  <si>
    <t>263535</t>
  </si>
  <si>
    <t>24</t>
  </si>
  <si>
    <t>Instalační stykač, Uc=230V AC, In=40A, 4zap. kont.</t>
  </si>
  <si>
    <t>Z-SCH230/40-40</t>
  </si>
  <si>
    <t>248852</t>
  </si>
  <si>
    <t>25</t>
  </si>
  <si>
    <t>Instalační stykač, Uc=230V AC, In=25A, 4zap. kont.</t>
  </si>
  <si>
    <t>Z-SCH230/25-40</t>
  </si>
  <si>
    <t>248847</t>
  </si>
  <si>
    <t>26</t>
  </si>
  <si>
    <t>Instalační stykač, Uc=230V AC, In=25A, 2zap. kont.</t>
  </si>
  <si>
    <t>Z-SCH230/1/25-20</t>
  </si>
  <si>
    <t>120853</t>
  </si>
  <si>
    <t>27</t>
  </si>
  <si>
    <t>Jistič PL7, char B, 1-pólový, Icn=10kA, In=2A</t>
  </si>
  <si>
    <t>PL7-B2/1</t>
  </si>
  <si>
    <t>264839</t>
  </si>
  <si>
    <t>28</t>
  </si>
  <si>
    <t>Měřicí transformátor na kabel Ø20, I=80/5A</t>
  </si>
  <si>
    <t>Z-MG/WAK80</t>
  </si>
  <si>
    <t>101622</t>
  </si>
  <si>
    <t>RH1, pole č.2</t>
  </si>
  <si>
    <t>Rám s dveřmi, otočný plast.zámek, IP30, šedá, montáž POD omítku, ŠxV=635x2060</t>
  </si>
  <si>
    <t>BP-U-3S-600/20</t>
  </si>
  <si>
    <t>111159</t>
  </si>
  <si>
    <t>Ochranný kryt, montáž POD omítku, ŠxVxH=635x2060x180</t>
  </si>
  <si>
    <t>BPZ-WB3S-600/20/1</t>
  </si>
  <si>
    <t>111107</t>
  </si>
  <si>
    <t>DIN lišta přístrojová hliníková, šířka skříně = 600, šířka lišty = 488 (24 modulů)</t>
  </si>
  <si>
    <t>BPZ-DINR24-600</t>
  </si>
  <si>
    <t>293595</t>
  </si>
  <si>
    <t>Krycí deska, s výřezem 45mm, plechová, šedá, Š=600, V=150</t>
  </si>
  <si>
    <t>BPZ-FP-600/150-45</t>
  </si>
  <si>
    <t>286684</t>
  </si>
  <si>
    <t>RP1</t>
  </si>
  <si>
    <t>Rám s dveřmi, otočný plast.zámek, IP30, bílá, montáž POD omítku, ŠxV=835x1260</t>
  </si>
  <si>
    <t>BP-U-3S-800/12-W</t>
  </si>
  <si>
    <t>111198</t>
  </si>
  <si>
    <t>Bočnice, V=1150, včetně západky BPZ-SNAP</t>
  </si>
  <si>
    <t>BPZ-MSW-12/SNAP</t>
  </si>
  <si>
    <t>112287</t>
  </si>
  <si>
    <t>Ochranný kryt, montáž POD omítku, ŠxVxH=835x1260x180</t>
  </si>
  <si>
    <t>BPZ-WB3S-800/12/1</t>
  </si>
  <si>
    <t>111110</t>
  </si>
  <si>
    <t>DIN lišta přístrojová hliníková, šířka skříně = 800, šířka lišty = 688 (35 modulů)</t>
  </si>
  <si>
    <t>BPZ-DINR35-800</t>
  </si>
  <si>
    <t>293596</t>
  </si>
  <si>
    <t>Krycí deska, s výřezem 45mm, plechová, bílá, Š=800, V=150</t>
  </si>
  <si>
    <t>BPZ-FP-800/150-45-W</t>
  </si>
  <si>
    <t>292412</t>
  </si>
  <si>
    <t>Krycí deska, bez výřezu, plechová, bílá, Š=800, V=150</t>
  </si>
  <si>
    <t>BPZ-FP-800/150-BL-W</t>
  </si>
  <si>
    <t>292411</t>
  </si>
  <si>
    <t>Krycí deska, bez výřezu, plechová, bílá, Š=800, V=100</t>
  </si>
  <si>
    <t>BPZ-FP-800/100-BL-W</t>
  </si>
  <si>
    <t>292410</t>
  </si>
  <si>
    <t>Záslepka pro výřezy 45mm, 6 modulů TE, bílá, lámatelná po 8,75mm (1/2TE)</t>
  </si>
  <si>
    <t>BS-6MB-WH</t>
  </si>
  <si>
    <t>178978</t>
  </si>
  <si>
    <t>Svorkovnice: Rozbočovací můstek N/PE 2x25+43x16mm2</t>
  </si>
  <si>
    <t>KL-45</t>
  </si>
  <si>
    <t>275450</t>
  </si>
  <si>
    <t>Chránič Ir=250A, typ A, 4-pól, Idn=0.03A, In=25A</t>
  </si>
  <si>
    <t>PF7-25/4/003-A</t>
  </si>
  <si>
    <t>263608</t>
  </si>
  <si>
    <t>Hlavní vypínač, 3-pól, In=40A</t>
  </si>
  <si>
    <t>IS-40/3</t>
  </si>
  <si>
    <t>276272</t>
  </si>
  <si>
    <t>RP1, pole č.2</t>
  </si>
  <si>
    <t>Rám s dveřmi, otočný plast.zámek, IP30, bílá, montáž POD omítku, ŠxV=435x1260</t>
  </si>
  <si>
    <t>BP-U-3S-400/12-W</t>
  </si>
  <si>
    <t>111186</t>
  </si>
  <si>
    <t>Ochranný kryt, montáž POD omítku, ŠxVxH=435x1260x180</t>
  </si>
  <si>
    <t>BPZ-WB3S-400/12/1</t>
  </si>
  <si>
    <t>111100</t>
  </si>
  <si>
    <t>DIN lišta přístrojová hliníková, šířka skříně = 400, šířka lišty = 288 (13 modulů)</t>
  </si>
  <si>
    <t>BPZ-DINR13-400</t>
  </si>
  <si>
    <t>293594</t>
  </si>
  <si>
    <t>Krycí deska, s výřezem 45mm, plechová, bílá, Š=400, V=150</t>
  </si>
  <si>
    <t>BPZ-FP-400/150-45-W</t>
  </si>
  <si>
    <t>292400</t>
  </si>
  <si>
    <t>Krycí deska, bez výřezu, plechová, bílá, Š=400, V=100</t>
  </si>
  <si>
    <t>BPZ-FP-400/100-BL-W</t>
  </si>
  <si>
    <t>292398</t>
  </si>
  <si>
    <t>Cena celkem včetně slevy [Kč]</t>
  </si>
  <si>
    <t>Sazba DPH základní (A) 21% [Kč]</t>
  </si>
  <si>
    <t>Cena celkem včetně slevy + Sazba DPH základní (A) [Kč]</t>
  </si>
  <si>
    <t>Sumarizovaný seznam (počty kusů NEBYLY zaokrouhleny na násobky základní objednací jednotky)</t>
  </si>
  <si>
    <t>Zvýrazněné položky - počet kusů neodpovídá základní objednací jednotce.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</si>
</sst>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0"/>
      <name val="Arial"/>
    </font>
    <font>
      <b/>
      <sz val="16"/>
      <name val="Arial"/>
    </font>
    <font>
      <i/>
      <sz val="8"/>
      <name val="Arial"/>
    </font>
    <font>
      <b/>
      <sz val="10"/>
      <name val="Arial"/>
    </font>
    <font>
      <b/>
      <sz val="12"/>
      <name val="Arial"/>
    </font>
    <font>
      <sz val="4"/>
      <name val="Arial"/>
    </font>
    <font>
      <b/>
      <sz val="11"/>
      <name val="Arial"/>
    </font>
    <font>
      <b/>
      <sz val="10"/>
      <color rgb="FF0000FF"/>
      <name val="Arial"/>
    </font>
    <font>
      <sz val="11"/>
      <name val="Arial"/>
    </font>
    <font>
      <b/>
      <sz val="11"/>
      <color rgb="FF0000FF"/>
      <name val="Arial"/>
    </font>
    <font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9CBFF"/>
      </patternFill>
    </fill>
    <fill>
      <patternFill patternType="solid">
        <fgColor rgb="FFCCFFFF"/>
      </patternFill>
    </fill>
  </fills>
  <borders count="22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</borders>
  <cellStyleXfs count="1">
    <xf numFmtId="0" fontId="0" fillId="0" borderId="0"/>
  </cellStyleXfs>
  <cellXfs count="59">
    <xf numFmtId="0" fontId="0" fillId="0" borderId="0" xfId="0"/>
    <xf numFmtId="49" fontId="1" fillId="2" borderId="0" xfId="0" applyNumberFormat="1" applyFont="1" applyFill="1" applyAlignment="1">
      <alignment horizontal="left"/>
    </xf>
    <xf numFmtId="49" fontId="2" fillId="2" borderId="1" xfId="0" applyNumberFormat="1" applyFont="1" applyFill="1" applyAlignment="1">
      <alignment horizontal="left" vertical="center"/>
    </xf>
    <xf numFmtId="49" fontId="2" fillId="2" borderId="2" xfId="0" applyNumberFormat="1" applyFont="1" applyFill="1" applyAlignment="1">
      <alignment horizontal="left" vertical="center"/>
    </xf>
    <xf numFmtId="49" fontId="2" fillId="2" borderId="3" xfId="0" applyNumberFormat="1" applyFont="1" applyFill="1" applyAlignment="1">
      <alignment horizontal="left" vertical="center"/>
    </xf>
    <xf numFmtId="49" fontId="3" fillId="2" borderId="4" xfId="0" applyNumberFormat="1" applyFont="1" applyFill="1" applyAlignment="1">
      <alignment horizontal="left" vertical="center"/>
    </xf>
    <xf numFmtId="49" fontId="3" fillId="2" borderId="5" xfId="0" applyNumberFormat="1" applyFont="1" applyFill="1" applyAlignment="1">
      <alignment horizontal="left" vertical="center"/>
    </xf>
    <xf numFmtId="49" fontId="3" fillId="2" borderId="6" xfId="0" applyNumberFormat="1" applyFont="1" applyFill="1" applyAlignment="1">
      <alignment horizontal="left" vertical="center"/>
    </xf>
    <xf numFmtId="49" fontId="4" fillId="2" borderId="1" xfId="0" applyNumberFormat="1" applyFont="1" applyFill="1" applyAlignment="1">
      <alignment horizontal="left"/>
    </xf>
    <xf numFmtId="49" fontId="4" fillId="2" borderId="3" xfId="0" applyNumberFormat="1" applyFont="1" applyFill="1" applyAlignment="1">
      <alignment horizontal="left"/>
    </xf>
    <xf numFmtId="49" fontId="4" fillId="2" borderId="2" xfId="0" applyNumberFormat="1" applyFont="1" applyFill="1" applyAlignment="1">
      <alignment horizontal="left"/>
    </xf>
    <xf numFmtId="49" fontId="5" fillId="2" borderId="7" xfId="0" applyNumberFormat="1" applyFont="1" applyFill="1" applyAlignment="1">
      <alignment horizontal="left"/>
    </xf>
    <xf numFmtId="49" fontId="5" fillId="2" borderId="8" xfId="0" applyNumberFormat="1" applyFont="1" applyFill="1" applyAlignment="1">
      <alignment horizontal="left"/>
    </xf>
    <xf numFmtId="49" fontId="5" fillId="2" borderId="0" xfId="0" applyNumberFormat="1" applyFont="1" applyFill="1" applyAlignment="1">
      <alignment horizontal="left"/>
    </xf>
    <xf numFmtId="49" fontId="1" fillId="2" borderId="7" xfId="0" applyNumberFormat="1" applyFont="1" applyFill="1" applyAlignment="1">
      <alignment horizontal="left"/>
    </xf>
    <xf numFmtId="49" fontId="1" fillId="2" borderId="8" xfId="0" applyNumberFormat="1" applyFont="1" applyFill="1" applyAlignment="1">
      <alignment horizontal="left"/>
    </xf>
    <xf numFmtId="49" fontId="4" fillId="2" borderId="7" xfId="0" applyNumberFormat="1" applyFont="1" applyFill="1" applyAlignment="1">
      <alignment horizontal="left"/>
    </xf>
    <xf numFmtId="49" fontId="4" fillId="2" borderId="8" xfId="0" applyNumberFormat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49" fontId="6" fillId="2" borderId="7" xfId="0" applyNumberFormat="1" applyFont="1" applyFill="1" applyAlignment="1">
      <alignment horizontal="left"/>
    </xf>
    <xf numFmtId="49" fontId="6" fillId="2" borderId="8" xfId="0" applyNumberFormat="1" applyFont="1" applyFill="1" applyAlignment="1">
      <alignment horizontal="left"/>
    </xf>
    <xf numFmtId="49" fontId="6" fillId="2" borderId="0" xfId="0" applyNumberFormat="1" applyFont="1" applyFill="1" applyAlignment="1">
      <alignment horizontal="left"/>
    </xf>
    <xf numFmtId="49" fontId="1" fillId="2" borderId="4" xfId="0" applyNumberFormat="1" applyFont="1" applyFill="1" applyAlignment="1">
      <alignment horizontal="left"/>
    </xf>
    <xf numFmtId="49" fontId="1" fillId="2" borderId="6" xfId="0" applyNumberFormat="1" applyFont="1" applyFill="1" applyAlignment="1">
      <alignment horizontal="left"/>
    </xf>
    <xf numFmtId="49" fontId="1" fillId="2" borderId="5" xfId="0" applyNumberFormat="1" applyFont="1" applyFill="1" applyAlignment="1">
      <alignment horizontal="left"/>
    </xf>
    <xf numFmtId="49" fontId="7" fillId="2" borderId="7" xfId="0" applyNumberFormat="1" applyFont="1" applyFill="1" applyAlignment="1">
      <alignment horizontal="left"/>
    </xf>
    <xf numFmtId="49" fontId="7" fillId="2" borderId="0" xfId="0" applyNumberFormat="1" applyFont="1" applyFill="1" applyAlignment="1">
      <alignment horizontal="left"/>
    </xf>
    <xf numFmtId="49" fontId="7" fillId="2" borderId="8" xfId="0" applyNumberFormat="1" applyFont="1" applyFill="1" applyAlignment="1">
      <alignment horizontal="left"/>
    </xf>
    <xf numFmtId="49" fontId="3" fillId="2" borderId="7" xfId="0" applyNumberFormat="1" applyFont="1" applyFill="1" applyAlignment="1">
      <alignment horizontal="left"/>
    </xf>
    <xf numFmtId="49" fontId="3" fillId="2" borderId="8" xfId="0" applyNumberFormat="1" applyFont="1" applyFill="1" applyAlignment="1">
      <alignment horizontal="left"/>
    </xf>
    <xf numFmtId="49" fontId="3" fillId="2" borderId="4" xfId="0" applyNumberFormat="1" applyFont="1" applyFill="1" applyAlignment="1">
      <alignment horizontal="left"/>
    </xf>
    <xf numFmtId="49" fontId="3" fillId="2" borderId="6" xfId="0" applyNumberFormat="1" applyFont="1" applyFill="1" applyAlignment="1">
      <alignment horizontal="left"/>
    </xf>
    <xf numFmtId="49" fontId="4" fillId="3" borderId="9" xfId="0" applyNumberFormat="1" applyFont="1" applyFill="1" applyAlignment="1">
      <alignment horizontal="center" vertical="top" wrapText="1"/>
    </xf>
    <xf numFmtId="49" fontId="4" fillId="3" borderId="10" xfId="0" applyNumberFormat="1" applyFont="1" applyFill="1" applyAlignment="1">
      <alignment horizontal="center" vertical="top" wrapText="1"/>
    </xf>
    <xf numFmtId="49" fontId="4" fillId="3" borderId="11" xfId="0" applyNumberFormat="1" applyFont="1" applyFill="1" applyAlignment="1">
      <alignment horizontal="center" vertical="top" wrapText="1"/>
    </xf>
    <xf numFmtId="49" fontId="4" fillId="4" borderId="12" xfId="0" applyNumberFormat="1" applyFont="1" applyFill="1" applyAlignment="1">
      <alignment horizontal="left"/>
    </xf>
    <xf numFmtId="49" fontId="4" fillId="4" borderId="13" xfId="0" applyNumberFormat="1" applyFont="1" applyFill="1" applyAlignment="1">
      <alignment horizontal="left"/>
    </xf>
    <xf numFmtId="49" fontId="4" fillId="4" borderId="14" xfId="0" applyNumberFormat="1" applyFont="1" applyFill="1" applyAlignment="1">
      <alignment horizontal="left"/>
    </xf>
    <xf numFmtId="1" fontId="1" fillId="2" borderId="15" xfId="0" applyNumberFormat="1" applyFont="1" applyFill="1" applyAlignment="1">
      <alignment horizontal="right" vertical="top"/>
    </xf>
    <xf numFmtId="49" fontId="1" fillId="2" borderId="16" xfId="0" applyNumberFormat="1" applyFont="1" applyFill="1" applyAlignment="1">
      <alignment horizontal="left" vertical="top" wrapText="1"/>
    </xf>
    <xf numFmtId="49" fontId="1" fillId="2" borderId="16" xfId="0" applyNumberFormat="1" applyFont="1" applyFill="1" applyAlignment="1">
      <alignment horizontal="left"/>
    </xf>
    <xf numFmtId="1" fontId="1" fillId="2" borderId="16" xfId="0" applyNumberFormat="1" applyFont="1" applyFill="1" applyAlignment="1">
      <alignment horizontal="right" vertical="top" indent="1"/>
    </xf>
    <xf numFmtId="4" fontId="1" fillId="2" borderId="16" xfId="0" applyNumberFormat="1" applyFont="1" applyFill="1" applyAlignment="1">
      <alignment horizontal="right" vertical="top"/>
    </xf>
    <xf numFmtId="4" fontId="1" fillId="2" borderId="17" xfId="0" applyNumberFormat="1" applyFont="1" applyFill="1" applyAlignment="1">
      <alignment horizontal="right" vertical="top"/>
    </xf>
    <xf numFmtId="1" fontId="1" fillId="4" borderId="16" xfId="0" applyNumberFormat="1" applyFont="1" applyFill="1" applyAlignment="1">
      <alignment horizontal="right" vertical="top" indent="1"/>
    </xf>
    <xf numFmtId="4" fontId="8" fillId="4" borderId="18" xfId="0" applyNumberFormat="1" applyFont="1" applyFill="1" applyAlignment="1">
      <alignment horizontal="right" vertical="center"/>
    </xf>
    <xf numFmtId="4" fontId="8" fillId="4" borderId="19" xfId="0" applyNumberFormat="1" applyFont="1" applyFill="1" applyAlignment="1">
      <alignment horizontal="right" vertical="center"/>
    </xf>
    <xf numFmtId="49" fontId="9" fillId="3" borderId="20" xfId="0" applyNumberFormat="1" applyFont="1" applyFill="1" applyAlignment="1">
      <alignment horizontal="left" vertical="center"/>
    </xf>
    <xf numFmtId="49" fontId="7" fillId="3" borderId="21" xfId="0" applyNumberFormat="1" applyFont="1" applyFill="1" applyAlignment="1">
      <alignment horizontal="left" vertical="center"/>
    </xf>
    <xf numFmtId="49" fontId="9" fillId="3" borderId="21" xfId="0" applyNumberFormat="1" applyFont="1" applyFill="1" applyAlignment="1">
      <alignment horizontal="left" vertical="center"/>
    </xf>
    <xf numFmtId="4" fontId="10" fillId="3" borderId="10" xfId="0" applyNumberFormat="1" applyFont="1" applyFill="1" applyAlignment="1">
      <alignment horizontal="right" vertical="center"/>
    </xf>
    <xf numFmtId="4" fontId="10" fillId="3" borderId="11" xfId="0" applyNumberFormat="1" applyFont="1" applyFill="1" applyAlignment="1">
      <alignment horizontal="right" vertical="center"/>
    </xf>
    <xf numFmtId="49" fontId="1" fillId="3" borderId="20" xfId="0" applyNumberFormat="1" applyFont="1" applyFill="1" applyAlignment="1">
      <alignment horizontal="left" vertical="top"/>
    </xf>
    <xf numFmtId="49" fontId="1" fillId="3" borderId="21" xfId="0" applyNumberFormat="1" applyFont="1" applyFill="1" applyAlignment="1">
      <alignment horizontal="left" vertical="top"/>
    </xf>
    <xf numFmtId="4" fontId="11" fillId="3" borderId="10" xfId="0" applyNumberFormat="1" applyFont="1" applyFill="1" applyAlignment="1">
      <alignment horizontal="right" vertical="top"/>
    </xf>
    <xf numFmtId="4" fontId="11" fillId="3" borderId="11" xfId="0" applyNumberFormat="1" applyFont="1" applyFill="1" applyAlignment="1">
      <alignment horizontal="right" vertical="top"/>
    </xf>
    <xf numFmtId="49" fontId="4" fillId="3" borderId="21" xfId="0" applyNumberFormat="1" applyFont="1" applyFill="1" applyAlignment="1">
      <alignment horizontal="left" vertical="top"/>
    </xf>
    <xf numFmtId="4" fontId="8" fillId="3" borderId="10" xfId="0" applyNumberFormat="1" applyFont="1" applyFill="1" applyAlignment="1">
      <alignment horizontal="right" vertical="top"/>
    </xf>
    <xf numFmtId="4" fontId="8" fillId="3" borderId="11" xfId="0" applyNumberFormat="1" applyFont="1" applyFill="1" applyAlignment="1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8001000" y="28575"/>
    <xdr:ext cx="1028700" cy="33337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6.71" customWidth="1" style="1"/>
    <col min="2" max="2" width="1.71" customWidth="1" style="1"/>
    <col min="3" max="3" width="50.71" customWidth="1" style="1"/>
    <col min="4" max="4" width="1.71" customWidth="1" style="1"/>
    <col min="5" max="5" width="20.71" customWidth="1" style="1"/>
    <col min="6" max="6" width="3.71" customWidth="1" style="1"/>
    <col min="7" max="7" width="7.71" customWidth="1" style="1"/>
    <col min="8" max="8" width="1.71" customWidth="1" style="1"/>
    <col min="9" max="9" width="18.71" customWidth="1" style="1"/>
    <col min="10" max="10" width="8.71" customWidth="1" style="1"/>
    <col min="11" max="11" width="13.71" customWidth="1" style="1"/>
    <col min="12" max="12" width="12.71" customWidth="1" style="1"/>
  </cols>
  <sheetData>
    <row r="1" ht="24" customHeight="1">
      <c t="s" r="A1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15.75" customHeight="1">
      <c t="s" r="A2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4">
      <c t="s" r="B4" s="8">
        <v>2</v>
      </c>
      <c r="C4" s="9"/>
      <c t="s" r="F4" s="8">
        <v>3</v>
      </c>
      <c r="G4" s="10"/>
      <c r="H4" s="10"/>
      <c r="I4" s="10"/>
      <c r="J4" s="10"/>
      <c r="K4" s="9"/>
    </row>
    <row r="5">
      <c r="B5" s="11"/>
      <c t="s" r="C5" s="12">
        <v>4</v>
      </c>
      <c r="F5" s="11"/>
      <c r="G5" s="13"/>
      <c r="H5" s="13"/>
      <c r="I5" s="13"/>
      <c r="J5" s="13"/>
      <c r="K5" s="12"/>
    </row>
    <row r="6">
      <c r="B6" s="14"/>
      <c t="s" r="C6" s="15">
        <v>5</v>
      </c>
      <c r="F6" s="14"/>
      <c r="K6" s="15"/>
    </row>
    <row r="7">
      <c r="B7" s="16"/>
      <c t="s" r="C7" s="17">
        <v>6</v>
      </c>
      <c r="F7" s="16"/>
      <c t="s" r="G7" s="18">
        <v>7</v>
      </c>
      <c r="H7" s="18"/>
      <c r="I7" s="18"/>
      <c r="J7" s="18"/>
      <c r="K7" s="17"/>
    </row>
    <row r="8" ht="5.25" customHeight="1">
      <c r="B8" s="19"/>
      <c r="C8" s="20"/>
      <c r="F8" s="19"/>
      <c r="G8" s="21"/>
      <c r="H8" s="21"/>
      <c r="I8" s="21"/>
      <c r="J8" s="21"/>
      <c r="K8" s="20"/>
    </row>
    <row r="9">
      <c r="B9" s="14"/>
      <c t="s" r="C9" s="15">
        <v>8</v>
      </c>
      <c r="F9" s="14"/>
      <c t="s" r="G9" s="1">
        <v>8</v>
      </c>
      <c r="K9" s="15"/>
    </row>
    <row r="10">
      <c r="B10" s="14"/>
      <c t="s" r="C10" s="15">
        <v>9</v>
      </c>
      <c r="F10" s="14"/>
      <c t="s" r="G10" s="1">
        <v>9</v>
      </c>
      <c r="K10" s="15"/>
    </row>
    <row r="11">
      <c r="B11" s="14"/>
      <c t="s" r="C11" s="15">
        <v>10</v>
      </c>
      <c r="F11" s="14"/>
      <c t="s" r="G11" s="1">
        <v>10</v>
      </c>
      <c r="K11" s="15"/>
    </row>
    <row r="12">
      <c r="B12" s="14"/>
      <c t="s" r="C12" s="15">
        <v>11</v>
      </c>
      <c r="F12" s="14"/>
      <c t="s" r="G12" s="1">
        <v>11</v>
      </c>
      <c r="K12" s="15"/>
    </row>
    <row r="13" ht="5.25" customHeight="1">
      <c r="B13" s="19"/>
      <c r="C13" s="20"/>
      <c r="F13" s="19"/>
      <c r="G13" s="21"/>
      <c r="H13" s="21"/>
      <c r="I13" s="21"/>
      <c r="J13" s="21"/>
      <c r="K13" s="20"/>
    </row>
    <row r="14">
      <c r="B14" s="14"/>
      <c t="s" r="C14" s="15">
        <v>12</v>
      </c>
      <c r="F14" s="14"/>
      <c r="K14" s="15"/>
    </row>
    <row r="15">
      <c r="B15" s="14"/>
      <c t="s" r="C15" s="15">
        <v>13</v>
      </c>
      <c r="F15" s="14"/>
      <c t="s" r="G15" s="1">
        <v>13</v>
      </c>
      <c r="K15" s="15"/>
    </row>
    <row r="16">
      <c r="B16" s="22"/>
      <c t="s" r="C16" s="23">
        <v>14</v>
      </c>
      <c r="F16" s="22"/>
      <c t="s" r="G16" s="24">
        <v>14</v>
      </c>
      <c r="H16" s="24"/>
      <c r="I16" s="24"/>
      <c r="J16" s="24"/>
      <c r="K16" s="23"/>
    </row>
    <row r="18">
      <c t="s" r="B18" s="8">
        <v>15</v>
      </c>
      <c r="C18" s="9"/>
      <c t="s" r="F18" s="8">
        <v>16</v>
      </c>
      <c r="G18" s="10"/>
      <c r="H18" s="10"/>
      <c r="I18" s="10"/>
      <c r="J18" s="10"/>
      <c r="K18" s="9"/>
    </row>
    <row r="19">
      <c r="B19" s="14"/>
      <c t="s" r="C19" s="15">
        <v>17</v>
      </c>
      <c r="F19" s="25"/>
      <c r="G19" s="26"/>
      <c r="H19" s="26"/>
      <c r="I19" s="26"/>
      <c r="J19" s="26"/>
      <c r="K19" s="27"/>
    </row>
    <row r="20">
      <c r="B20" s="14"/>
      <c t="s" r="C20" s="15">
        <v>18</v>
      </c>
      <c r="F20" s="25"/>
      <c r="G20" s="26"/>
      <c r="H20" s="26"/>
      <c r="I20" s="26"/>
      <c r="J20" s="26"/>
      <c r="K20" s="27"/>
    </row>
    <row r="21">
      <c t="s" r="B21" s="16">
        <v>19</v>
      </c>
      <c r="C21" s="17"/>
      <c t="s" r="F21" s="16">
        <v>20</v>
      </c>
      <c r="G21" s="18"/>
      <c r="H21" s="18"/>
      <c r="I21" s="18"/>
      <c r="J21" s="18"/>
      <c r="K21" s="17"/>
    </row>
    <row r="22">
      <c r="B22" s="14"/>
      <c r="C22" s="15"/>
      <c r="F22" s="14"/>
      <c t="s" r="G22" s="1">
        <v>21</v>
      </c>
      <c r="K22" s="15"/>
    </row>
    <row r="23">
      <c r="B23" s="28"/>
      <c t="s" r="C23" s="29">
        <v>22</v>
      </c>
      <c r="F23" s="14"/>
      <c t="s" r="G23" s="1">
        <v>23</v>
      </c>
      <c r="K23" s="15"/>
    </row>
    <row r="24">
      <c r="B24" s="30"/>
      <c t="s" r="C24" s="31">
        <v>24</v>
      </c>
      <c r="F24" s="22"/>
      <c t="s" r="G24" s="24">
        <v>25</v>
      </c>
      <c r="H24" s="24"/>
      <c r="I24" s="24"/>
      <c r="J24" s="24"/>
      <c r="K24" s="23"/>
    </row>
    <row r="26" ht="42" customHeight="1">
      <c t="s" r="A26" s="32">
        <v>26</v>
      </c>
      <c t="s" r="B26" s="33">
        <v>27</v>
      </c>
      <c r="C26" s="33"/>
      <c t="s" r="D26" s="33">
        <v>28</v>
      </c>
      <c r="E26" s="33"/>
      <c r="F26" s="33"/>
      <c r="G26" s="33"/>
      <c t="s" r="H26" s="33">
        <v>29</v>
      </c>
      <c r="I26" s="33"/>
      <c t="s" r="J26" s="33">
        <v>30</v>
      </c>
      <c t="s" r="K26" s="33">
        <v>31</v>
      </c>
      <c t="s" r="L26" s="34">
        <v>32</v>
      </c>
    </row>
    <row r="27">
      <c t="s" r="A27" s="35">
        <v>33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ht="25.5" customHeight="1">
      <c t="s" r="A28" s="38">
        <v>34</v>
      </c>
      <c t="s" r="B28" s="39">
        <v>35</v>
      </c>
      <c r="C28" s="40"/>
      <c t="s" r="D28" s="39">
        <v>36</v>
      </c>
      <c r="E28" s="40"/>
      <c r="F28" s="40"/>
      <c r="G28" s="40"/>
      <c t="s" r="H28" s="39">
        <v>37</v>
      </c>
      <c r="I28" s="40"/>
      <c r="J28" s="41">
        <v>1</v>
      </c>
      <c r="K28" s="42">
        <v>8738</v>
      </c>
      <c r="L28" s="43">
        <v>0</v>
      </c>
    </row>
    <row r="29" ht="25.5" customHeight="1">
      <c t="s" r="A29" s="38">
        <v>38</v>
      </c>
      <c t="s" r="B29" s="39">
        <v>39</v>
      </c>
      <c r="C29" s="40"/>
      <c t="s" r="D29" s="39">
        <v>40</v>
      </c>
      <c r="E29" s="40"/>
      <c r="F29" s="40"/>
      <c r="G29" s="40"/>
      <c t="s" r="H29" s="39">
        <v>41</v>
      </c>
      <c r="I29" s="40"/>
      <c r="J29" s="41">
        <v>1</v>
      </c>
      <c r="K29" s="42">
        <v>1625</v>
      </c>
      <c r="L29" s="43">
        <v>0</v>
      </c>
    </row>
    <row r="30" ht="25.5" customHeight="1">
      <c t="s" r="A30" s="38">
        <v>42</v>
      </c>
      <c t="s" r="B30" s="39">
        <v>43</v>
      </c>
      <c r="C30" s="40"/>
      <c t="s" r="D30" s="39">
        <v>44</v>
      </c>
      <c r="E30" s="40"/>
      <c r="F30" s="40"/>
      <c r="G30" s="40"/>
      <c t="s" r="H30" s="39">
        <v>45</v>
      </c>
      <c r="I30" s="40"/>
      <c r="J30" s="41">
        <v>1</v>
      </c>
      <c r="K30" s="42">
        <v>4553</v>
      </c>
      <c r="L30" s="43">
        <v>0</v>
      </c>
    </row>
    <row r="31" ht="25.5" customHeight="1">
      <c t="s" r="A31" s="38">
        <v>46</v>
      </c>
      <c t="s" r="B31" s="39">
        <v>47</v>
      </c>
      <c r="C31" s="40"/>
      <c t="s" r="D31" s="39">
        <v>48</v>
      </c>
      <c r="E31" s="40"/>
      <c r="F31" s="40"/>
      <c r="G31" s="40"/>
      <c t="s" r="H31" s="39">
        <v>49</v>
      </c>
      <c r="I31" s="40"/>
      <c r="J31" s="41">
        <v>1</v>
      </c>
      <c r="K31" s="42">
        <v>192</v>
      </c>
      <c r="L31" s="43">
        <v>0</v>
      </c>
    </row>
    <row r="32" ht="25.5" customHeight="1">
      <c t="s" r="A32" s="38">
        <v>50</v>
      </c>
      <c t="s" r="B32" s="39">
        <v>51</v>
      </c>
      <c r="C32" s="40"/>
      <c t="s" r="D32" s="39">
        <v>52</v>
      </c>
      <c r="E32" s="40"/>
      <c r="F32" s="40"/>
      <c r="G32" s="40"/>
      <c t="s" r="H32" s="39">
        <v>53</v>
      </c>
      <c r="I32" s="40"/>
      <c r="J32" s="44">
        <v>13</v>
      </c>
      <c r="K32" s="42">
        <v>2002</v>
      </c>
      <c r="L32" s="43">
        <v>0</v>
      </c>
    </row>
    <row r="33" ht="25.5" customHeight="1">
      <c t="s" r="A33" s="38">
        <v>54</v>
      </c>
      <c t="s" r="B33" s="39">
        <v>55</v>
      </c>
      <c r="C33" s="40"/>
      <c t="s" r="D33" s="39">
        <v>56</v>
      </c>
      <c r="E33" s="40"/>
      <c r="F33" s="40"/>
      <c r="G33" s="40"/>
      <c t="s" r="H33" s="39">
        <v>57</v>
      </c>
      <c r="I33" s="40"/>
      <c r="J33" s="41">
        <v>7</v>
      </c>
      <c r="K33" s="42">
        <v>1078</v>
      </c>
      <c r="L33" s="43">
        <v>0</v>
      </c>
    </row>
    <row r="34" ht="25.5" customHeight="1">
      <c t="s" r="A34" s="38">
        <v>58</v>
      </c>
      <c t="s" r="B34" s="39">
        <v>59</v>
      </c>
      <c r="C34" s="40"/>
      <c t="s" r="D34" s="39">
        <v>60</v>
      </c>
      <c r="E34" s="40"/>
      <c r="F34" s="40"/>
      <c r="G34" s="40"/>
      <c t="s" r="H34" s="39">
        <v>61</v>
      </c>
      <c r="I34" s="40"/>
      <c r="J34" s="41">
        <v>7</v>
      </c>
      <c r="K34" s="42">
        <v>707</v>
      </c>
      <c r="L34" s="43">
        <v>0</v>
      </c>
    </row>
    <row r="35" ht="25.5" customHeight="1">
      <c t="s" r="A35" s="38">
        <v>62</v>
      </c>
      <c t="s" r="B35" s="39">
        <v>63</v>
      </c>
      <c r="C35" s="40"/>
      <c t="s" r="D35" s="39">
        <v>64</v>
      </c>
      <c r="E35" s="40"/>
      <c r="F35" s="40"/>
      <c r="G35" s="40"/>
      <c t="s" r="H35" s="39">
        <v>65</v>
      </c>
      <c r="I35" s="40"/>
      <c r="J35" s="41">
        <v>10</v>
      </c>
      <c r="K35" s="42">
        <v>4290</v>
      </c>
      <c r="L35" s="43">
        <v>0</v>
      </c>
    </row>
    <row r="36" ht="25.5" customHeight="1">
      <c t="s" r="A36" s="38">
        <v>66</v>
      </c>
      <c t="s" r="B36" s="39">
        <v>67</v>
      </c>
      <c r="C36" s="40"/>
      <c t="s" r="D36" s="39">
        <v>68</v>
      </c>
      <c r="E36" s="40"/>
      <c r="F36" s="40"/>
      <c r="G36" s="40"/>
      <c t="s" r="H36" s="39">
        <v>69</v>
      </c>
      <c r="I36" s="40"/>
      <c r="J36" s="41">
        <v>3</v>
      </c>
      <c r="K36" s="42">
        <v>1272</v>
      </c>
      <c r="L36" s="43">
        <v>0</v>
      </c>
    </row>
    <row r="37" ht="25.5" customHeight="1">
      <c t="s" r="A37" s="38">
        <v>70</v>
      </c>
      <c t="s" r="B37" s="39">
        <v>71</v>
      </c>
      <c r="C37" s="40"/>
      <c t="s" r="D37" s="39">
        <v>72</v>
      </c>
      <c r="E37" s="40"/>
      <c r="F37" s="40"/>
      <c r="G37" s="40"/>
      <c t="s" r="H37" s="39">
        <v>73</v>
      </c>
      <c r="I37" s="40"/>
      <c r="J37" s="44">
        <v>13</v>
      </c>
      <c r="K37" s="42">
        <v>572</v>
      </c>
      <c r="L37" s="43">
        <v>0</v>
      </c>
    </row>
    <row r="38" ht="25.5" customHeight="1">
      <c t="s" r="A38" s="38">
        <v>74</v>
      </c>
      <c t="s" r="B38" s="39">
        <v>75</v>
      </c>
      <c r="C38" s="40"/>
      <c t="s" r="D38" s="39">
        <v>76</v>
      </c>
      <c r="E38" s="40"/>
      <c r="F38" s="40"/>
      <c r="G38" s="40"/>
      <c t="s" r="H38" s="39">
        <v>77</v>
      </c>
      <c r="I38" s="40"/>
      <c r="J38" s="41">
        <v>1</v>
      </c>
      <c r="K38" s="42">
        <v>15869</v>
      </c>
      <c r="L38" s="43">
        <v>1.6399999999999999</v>
      </c>
    </row>
    <row r="39" ht="25.5" customHeight="1">
      <c t="s" r="A39" s="38">
        <v>78</v>
      </c>
      <c t="s" r="B39" s="39">
        <v>79</v>
      </c>
      <c r="C39" s="40"/>
      <c t="s" r="D39" s="39">
        <v>80</v>
      </c>
      <c r="E39" s="40"/>
      <c r="F39" s="40"/>
      <c r="G39" s="40"/>
      <c t="s" r="H39" s="39">
        <v>81</v>
      </c>
      <c r="I39" s="40"/>
      <c r="J39" s="41">
        <v>1</v>
      </c>
      <c r="K39" s="42">
        <v>199</v>
      </c>
      <c r="L39" s="43">
        <v>0.16</v>
      </c>
    </row>
    <row r="40" ht="25.5" customHeight="1">
      <c t="s" r="A40" s="38">
        <v>82</v>
      </c>
      <c t="s" r="B40" s="39">
        <v>83</v>
      </c>
      <c r="C40" s="40"/>
      <c t="s" r="D40" s="39">
        <v>84</v>
      </c>
      <c r="E40" s="40"/>
      <c r="F40" s="40"/>
      <c r="G40" s="40"/>
      <c t="s" r="H40" s="39">
        <v>85</v>
      </c>
      <c r="I40" s="40"/>
      <c r="J40" s="41">
        <v>4</v>
      </c>
      <c r="K40" s="42">
        <v>2624</v>
      </c>
      <c r="L40" s="43">
        <v>1.9199999999999999</v>
      </c>
    </row>
    <row r="41" ht="25.5" customHeight="1">
      <c t="s" r="A41" s="38">
        <v>86</v>
      </c>
      <c t="s" r="B41" s="39">
        <v>87</v>
      </c>
      <c r="C41" s="40"/>
      <c t="s" r="D41" s="39">
        <v>88</v>
      </c>
      <c r="E41" s="40"/>
      <c r="F41" s="40"/>
      <c r="G41" s="40"/>
      <c t="s" r="H41" s="39">
        <v>89</v>
      </c>
      <c r="I41" s="40"/>
      <c r="J41" s="41">
        <v>2</v>
      </c>
      <c r="K41" s="42">
        <v>1198</v>
      </c>
      <c r="L41" s="43">
        <v>0.95999999999999996</v>
      </c>
    </row>
    <row r="42" ht="25.5" customHeight="1">
      <c t="s" r="A42" s="38">
        <v>90</v>
      </c>
      <c t="s" r="B42" s="39">
        <v>91</v>
      </c>
      <c r="C42" s="40"/>
      <c t="s" r="D42" s="39">
        <v>92</v>
      </c>
      <c r="E42" s="40"/>
      <c r="F42" s="40"/>
      <c r="G42" s="40"/>
      <c t="s" r="H42" s="39">
        <v>93</v>
      </c>
      <c r="I42" s="40"/>
      <c r="J42" s="41">
        <v>1</v>
      </c>
      <c r="K42" s="42">
        <v>134</v>
      </c>
      <c r="L42" s="43">
        <v>0.16</v>
      </c>
    </row>
    <row r="43" ht="25.5" customHeight="1">
      <c t="s" r="A43" s="38">
        <v>94</v>
      </c>
      <c t="s" r="B43" s="39">
        <v>95</v>
      </c>
      <c r="C43" s="40"/>
      <c t="s" r="D43" s="39">
        <v>96</v>
      </c>
      <c r="E43" s="40"/>
      <c r="F43" s="40"/>
      <c r="G43" s="40"/>
      <c t="s" r="H43" s="39">
        <v>97</v>
      </c>
      <c r="I43" s="40"/>
      <c r="J43" s="41">
        <v>1</v>
      </c>
      <c r="K43" s="42">
        <v>154</v>
      </c>
      <c r="L43" s="43">
        <v>0.16</v>
      </c>
    </row>
    <row r="44" ht="25.5" customHeight="1">
      <c t="s" r="A44" s="38">
        <v>98</v>
      </c>
      <c t="s" r="B44" s="39">
        <v>99</v>
      </c>
      <c r="C44" s="40"/>
      <c t="s" r="D44" s="39">
        <v>100</v>
      </c>
      <c r="E44" s="40"/>
      <c r="F44" s="40"/>
      <c r="G44" s="40"/>
      <c t="s" r="H44" s="39">
        <v>101</v>
      </c>
      <c r="I44" s="40"/>
      <c r="J44" s="41">
        <v>1</v>
      </c>
      <c r="K44" s="42">
        <v>815</v>
      </c>
      <c r="L44" s="43">
        <v>0.47999999999999998</v>
      </c>
    </row>
    <row r="45" ht="25.5" customHeight="1">
      <c t="s" r="A45" s="38">
        <v>102</v>
      </c>
      <c t="s" r="B45" s="39">
        <v>103</v>
      </c>
      <c r="C45" s="40"/>
      <c t="s" r="D45" s="39">
        <v>104</v>
      </c>
      <c r="E45" s="40"/>
      <c r="F45" s="40"/>
      <c r="G45" s="40"/>
      <c t="s" r="H45" s="39">
        <v>105</v>
      </c>
      <c r="I45" s="40"/>
      <c r="J45" s="44">
        <v>6</v>
      </c>
      <c r="K45" s="42">
        <v>600</v>
      </c>
      <c r="L45" s="43">
        <v>0.12</v>
      </c>
    </row>
    <row r="46" ht="25.5" customHeight="1">
      <c t="s" r="A46" s="38">
        <v>106</v>
      </c>
      <c t="s" r="B46" s="39">
        <v>107</v>
      </c>
      <c r="C46" s="40"/>
      <c t="s" r="D46" s="39">
        <v>108</v>
      </c>
      <c r="E46" s="40"/>
      <c r="F46" s="40"/>
      <c r="G46" s="40"/>
      <c t="s" r="H46" s="39">
        <v>109</v>
      </c>
      <c r="I46" s="40"/>
      <c r="J46" s="41">
        <v>2</v>
      </c>
      <c r="K46" s="42">
        <v>1546</v>
      </c>
      <c r="L46" s="43">
        <v>0.69999999999999996</v>
      </c>
    </row>
    <row r="47" ht="25.5" customHeight="1">
      <c t="s" r="A47" s="38">
        <v>110</v>
      </c>
      <c t="s" r="B47" s="39">
        <v>111</v>
      </c>
      <c r="C47" s="40"/>
      <c t="s" r="D47" s="39">
        <v>112</v>
      </c>
      <c r="E47" s="40"/>
      <c r="F47" s="40"/>
      <c r="G47" s="40"/>
      <c t="s" r="H47" s="39">
        <v>113</v>
      </c>
      <c r="I47" s="40"/>
      <c r="J47" s="41">
        <v>4</v>
      </c>
      <c r="K47" s="42">
        <v>39960</v>
      </c>
      <c r="L47" s="43">
        <v>1.72</v>
      </c>
    </row>
    <row r="48" ht="25.5" customHeight="1">
      <c t="s" r="A48" s="38">
        <v>114</v>
      </c>
      <c t="s" r="B48" s="39">
        <v>115</v>
      </c>
      <c r="C48" s="40"/>
      <c t="s" r="D48" s="39">
        <v>116</v>
      </c>
      <c r="E48" s="40"/>
      <c r="F48" s="40"/>
      <c r="G48" s="40"/>
      <c t="s" r="H48" s="39">
        <v>117</v>
      </c>
      <c r="I48" s="40"/>
      <c r="J48" s="41">
        <v>1</v>
      </c>
      <c r="K48" s="42">
        <v>2408</v>
      </c>
      <c r="L48" s="43">
        <v>0.46999999999999997</v>
      </c>
    </row>
    <row r="49" ht="25.5" customHeight="1">
      <c t="s" r="A49" s="38">
        <v>118</v>
      </c>
      <c t="s" r="B49" s="39">
        <v>119</v>
      </c>
      <c r="C49" s="40"/>
      <c t="s" r="D49" s="39">
        <v>120</v>
      </c>
      <c r="E49" s="40"/>
      <c r="F49" s="40"/>
      <c r="G49" s="40"/>
      <c t="s" r="H49" s="39">
        <v>121</v>
      </c>
      <c r="I49" s="40"/>
      <c r="J49" s="41">
        <v>43</v>
      </c>
      <c r="K49" s="42">
        <v>85699</v>
      </c>
      <c r="L49" s="43">
        <v>11.610000000000001</v>
      </c>
    </row>
    <row r="50" ht="25.5" customHeight="1">
      <c t="s" r="A50" s="38">
        <v>122</v>
      </c>
      <c t="s" r="B50" s="39">
        <v>123</v>
      </c>
      <c r="C50" s="40"/>
      <c t="s" r="D50" s="39">
        <v>124</v>
      </c>
      <c r="E50" s="40"/>
      <c r="F50" s="40"/>
      <c r="G50" s="40"/>
      <c t="s" r="H50" s="39">
        <v>125</v>
      </c>
      <c r="I50" s="40"/>
      <c r="J50" s="41">
        <v>44</v>
      </c>
      <c r="K50" s="42">
        <v>76604</v>
      </c>
      <c r="L50" s="43">
        <v>11.880000000000001</v>
      </c>
    </row>
    <row r="51" ht="25.5" customHeight="1">
      <c t="s" r="A51" s="38">
        <v>126</v>
      </c>
      <c t="s" r="B51" s="39">
        <v>127</v>
      </c>
      <c r="C51" s="40"/>
      <c t="s" r="D51" s="39">
        <v>128</v>
      </c>
      <c r="E51" s="40"/>
      <c r="F51" s="40"/>
      <c r="G51" s="40"/>
      <c t="s" r="H51" s="39">
        <v>129</v>
      </c>
      <c r="I51" s="40"/>
      <c r="J51" s="41">
        <v>1</v>
      </c>
      <c r="K51" s="42">
        <v>1301</v>
      </c>
      <c r="L51" s="43">
        <v>0.47999999999999998</v>
      </c>
    </row>
    <row r="52" ht="25.5" customHeight="1">
      <c t="s" r="A52" s="38">
        <v>130</v>
      </c>
      <c t="s" r="B52" s="39">
        <v>131</v>
      </c>
      <c r="C52" s="40"/>
      <c t="s" r="D52" s="39">
        <v>132</v>
      </c>
      <c r="E52" s="40"/>
      <c r="F52" s="40"/>
      <c r="G52" s="40"/>
      <c t="s" r="H52" s="39">
        <v>133</v>
      </c>
      <c r="I52" s="40"/>
      <c r="J52" s="41">
        <v>4</v>
      </c>
      <c r="K52" s="42">
        <v>2320</v>
      </c>
      <c r="L52" s="43">
        <v>1.2</v>
      </c>
    </row>
    <row r="53" ht="25.5" customHeight="1">
      <c t="s" r="A53" s="38">
        <v>134</v>
      </c>
      <c t="s" r="B53" s="39">
        <v>135</v>
      </c>
      <c r="C53" s="40"/>
      <c t="s" r="D53" s="39">
        <v>136</v>
      </c>
      <c r="E53" s="40"/>
      <c r="F53" s="40"/>
      <c r="G53" s="40"/>
      <c t="s" r="H53" s="39">
        <v>137</v>
      </c>
      <c r="I53" s="40"/>
      <c r="J53" s="41">
        <v>88</v>
      </c>
      <c r="K53" s="42">
        <v>53768</v>
      </c>
      <c r="L53" s="43">
        <v>16.719999999999999</v>
      </c>
    </row>
    <row r="54" ht="25.5" customHeight="1">
      <c t="s" r="A54" s="38">
        <v>138</v>
      </c>
      <c t="s" r="B54" s="39">
        <v>139</v>
      </c>
      <c r="C54" s="40"/>
      <c t="s" r="D54" s="39">
        <v>140</v>
      </c>
      <c r="E54" s="40"/>
      <c r="F54" s="40"/>
      <c r="G54" s="40"/>
      <c t="s" r="H54" s="39">
        <v>141</v>
      </c>
      <c r="I54" s="40"/>
      <c r="J54" s="41">
        <v>1</v>
      </c>
      <c r="K54" s="42">
        <v>313</v>
      </c>
      <c r="L54" s="43">
        <v>0.16</v>
      </c>
    </row>
    <row r="55" ht="25.5" customHeight="1">
      <c t="s" r="A55" s="38">
        <v>142</v>
      </c>
      <c t="s" r="B55" s="39">
        <v>143</v>
      </c>
      <c r="C55" s="40"/>
      <c t="s" r="D55" s="39">
        <v>144</v>
      </c>
      <c r="E55" s="40"/>
      <c r="F55" s="40"/>
      <c r="G55" s="40"/>
      <c t="s" r="H55" s="39">
        <v>145</v>
      </c>
      <c r="I55" s="40"/>
      <c r="J55" s="41">
        <v>3</v>
      </c>
      <c r="K55" s="42">
        <v>3690</v>
      </c>
      <c r="L55" s="43">
        <v>0.60000000000000009</v>
      </c>
    </row>
    <row r="56">
      <c r="A56" s="22"/>
      <c r="B56" s="24"/>
      <c r="C56" s="24"/>
      <c r="D56" s="24"/>
      <c r="E56" s="24"/>
      <c r="F56" s="24"/>
      <c r="G56" s="24"/>
      <c r="H56" s="24"/>
      <c r="I56" s="24"/>
      <c r="J56" s="24"/>
      <c r="K56" s="45">
        <f>SUM(K28:K55)</f>
      </c>
      <c r="L56" s="46">
        <f>SUM(L28:L55)</f>
      </c>
    </row>
    <row r="57">
      <c t="s" r="A57" s="35">
        <v>146</v>
      </c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7"/>
    </row>
    <row r="58" ht="25.5" customHeight="1">
      <c t="s" r="A58" s="38">
        <v>34</v>
      </c>
      <c t="s" r="B58" s="39">
        <v>147</v>
      </c>
      <c r="C58" s="40"/>
      <c t="s" r="D58" s="39">
        <v>148</v>
      </c>
      <c r="E58" s="40"/>
      <c r="F58" s="40"/>
      <c r="G58" s="40"/>
      <c t="s" r="H58" s="39">
        <v>149</v>
      </c>
      <c r="I58" s="40"/>
      <c r="J58" s="41">
        <v>1</v>
      </c>
      <c r="K58" s="42">
        <v>5814</v>
      </c>
      <c r="L58" s="43">
        <v>0</v>
      </c>
    </row>
    <row r="59" ht="25.5" customHeight="1">
      <c t="s" r="A59" s="38">
        <v>38</v>
      </c>
      <c t="s" r="B59" s="39">
        <v>39</v>
      </c>
      <c r="C59" s="40"/>
      <c t="s" r="D59" s="39">
        <v>40</v>
      </c>
      <c r="E59" s="40"/>
      <c r="F59" s="40"/>
      <c r="G59" s="40"/>
      <c t="s" r="H59" s="39">
        <v>41</v>
      </c>
      <c r="I59" s="40"/>
      <c r="J59" s="41">
        <v>1</v>
      </c>
      <c r="K59" s="42">
        <v>1625</v>
      </c>
      <c r="L59" s="43">
        <v>0</v>
      </c>
    </row>
    <row r="60" ht="25.5" customHeight="1">
      <c t="s" r="A60" s="38">
        <v>42</v>
      </c>
      <c t="s" r="B60" s="39">
        <v>150</v>
      </c>
      <c r="C60" s="40"/>
      <c t="s" r="D60" s="39">
        <v>151</v>
      </c>
      <c r="E60" s="40"/>
      <c r="F60" s="40"/>
      <c r="G60" s="40"/>
      <c t="s" r="H60" s="39">
        <v>152</v>
      </c>
      <c r="I60" s="40"/>
      <c r="J60" s="41">
        <v>1</v>
      </c>
      <c r="K60" s="42">
        <v>2997</v>
      </c>
      <c r="L60" s="43">
        <v>0</v>
      </c>
    </row>
    <row r="61" ht="25.5" customHeight="1">
      <c t="s" r="A61" s="38">
        <v>46</v>
      </c>
      <c t="s" r="B61" s="39">
        <v>47</v>
      </c>
      <c r="C61" s="40"/>
      <c t="s" r="D61" s="39">
        <v>48</v>
      </c>
      <c r="E61" s="40"/>
      <c r="F61" s="40"/>
      <c r="G61" s="40"/>
      <c t="s" r="H61" s="39">
        <v>49</v>
      </c>
      <c r="I61" s="40"/>
      <c r="J61" s="41">
        <v>1</v>
      </c>
      <c r="K61" s="42">
        <v>192</v>
      </c>
      <c r="L61" s="43">
        <v>0</v>
      </c>
    </row>
    <row r="62" ht="25.5" customHeight="1">
      <c t="s" r="A62" s="38">
        <v>50</v>
      </c>
      <c t="s" r="B62" s="39">
        <v>153</v>
      </c>
      <c r="C62" s="40"/>
      <c t="s" r="D62" s="39">
        <v>154</v>
      </c>
      <c r="E62" s="40"/>
      <c r="F62" s="40"/>
      <c r="G62" s="40"/>
      <c t="s" r="H62" s="39">
        <v>155</v>
      </c>
      <c r="I62" s="40"/>
      <c r="J62" s="44">
        <v>13</v>
      </c>
      <c r="K62" s="42">
        <v>1287</v>
      </c>
      <c r="L62" s="43">
        <v>0</v>
      </c>
    </row>
    <row r="63" ht="25.5" customHeight="1">
      <c t="s" r="A63" s="38">
        <v>54</v>
      </c>
      <c t="s" r="B63" s="39">
        <v>55</v>
      </c>
      <c r="C63" s="40"/>
      <c t="s" r="D63" s="39">
        <v>56</v>
      </c>
      <c r="E63" s="40"/>
      <c r="F63" s="40"/>
      <c r="G63" s="40"/>
      <c t="s" r="H63" s="39">
        <v>57</v>
      </c>
      <c r="I63" s="40"/>
      <c r="J63" s="41">
        <v>7</v>
      </c>
      <c r="K63" s="42">
        <v>1078</v>
      </c>
      <c r="L63" s="43">
        <v>0</v>
      </c>
    </row>
    <row r="64" ht="25.5" customHeight="1">
      <c t="s" r="A64" s="38">
        <v>58</v>
      </c>
      <c t="s" r="B64" s="39">
        <v>59</v>
      </c>
      <c r="C64" s="40"/>
      <c t="s" r="D64" s="39">
        <v>60</v>
      </c>
      <c r="E64" s="40"/>
      <c r="F64" s="40"/>
      <c r="G64" s="40"/>
      <c t="s" r="H64" s="39">
        <v>61</v>
      </c>
      <c r="I64" s="40"/>
      <c r="J64" s="41">
        <v>7</v>
      </c>
      <c r="K64" s="42">
        <v>707</v>
      </c>
      <c r="L64" s="43">
        <v>0</v>
      </c>
    </row>
    <row r="65" ht="25.5" customHeight="1">
      <c t="s" r="A65" s="38">
        <v>62</v>
      </c>
      <c t="s" r="B65" s="39">
        <v>156</v>
      </c>
      <c r="C65" s="40"/>
      <c t="s" r="D65" s="39">
        <v>157</v>
      </c>
      <c r="E65" s="40"/>
      <c r="F65" s="40"/>
      <c r="G65" s="40"/>
      <c t="s" r="H65" s="39">
        <v>158</v>
      </c>
      <c r="I65" s="40"/>
      <c r="J65" s="41">
        <v>13</v>
      </c>
      <c r="K65" s="42">
        <v>4069</v>
      </c>
      <c r="L65" s="43">
        <v>0</v>
      </c>
    </row>
    <row r="66">
      <c r="A66" s="22"/>
      <c r="B66" s="24"/>
      <c r="C66" s="24"/>
      <c r="D66" s="24"/>
      <c r="E66" s="24"/>
      <c r="F66" s="24"/>
      <c r="G66" s="24"/>
      <c r="H66" s="24"/>
      <c r="I66" s="24"/>
      <c r="J66" s="24"/>
      <c r="K66" s="45">
        <f>SUM(K58:K65)</f>
      </c>
      <c r="L66" s="46">
        <f>SUM(L58:L65)</f>
      </c>
    </row>
    <row r="67">
      <c t="s" r="A67" s="35">
        <v>159</v>
      </c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7"/>
    </row>
    <row r="68" ht="25.5" customHeight="1">
      <c t="s" r="A68" s="38">
        <v>34</v>
      </c>
      <c t="s" r="B68" s="39">
        <v>160</v>
      </c>
      <c r="C68" s="40"/>
      <c t="s" r="D68" s="39">
        <v>161</v>
      </c>
      <c r="E68" s="40"/>
      <c r="F68" s="40"/>
      <c r="G68" s="40"/>
      <c t="s" r="H68" s="39">
        <v>162</v>
      </c>
      <c r="I68" s="40"/>
      <c r="J68" s="41">
        <v>1</v>
      </c>
      <c r="K68" s="42">
        <v>4123</v>
      </c>
      <c r="L68" s="43">
        <v>0</v>
      </c>
    </row>
    <row r="69" ht="25.5" customHeight="1">
      <c t="s" r="A69" s="38">
        <v>38</v>
      </c>
      <c t="s" r="B69" s="39">
        <v>163</v>
      </c>
      <c r="C69" s="40"/>
      <c t="s" r="D69" s="39">
        <v>164</v>
      </c>
      <c r="E69" s="40"/>
      <c r="F69" s="40"/>
      <c r="G69" s="40"/>
      <c t="s" r="H69" s="39">
        <v>165</v>
      </c>
      <c r="I69" s="40"/>
      <c r="J69" s="41">
        <v>1</v>
      </c>
      <c r="K69" s="42">
        <v>1142</v>
      </c>
      <c r="L69" s="43">
        <v>0</v>
      </c>
    </row>
    <row r="70" ht="25.5" customHeight="1">
      <c t="s" r="A70" s="38">
        <v>42</v>
      </c>
      <c t="s" r="B70" s="39">
        <v>166</v>
      </c>
      <c r="C70" s="40"/>
      <c t="s" r="D70" s="39">
        <v>167</v>
      </c>
      <c r="E70" s="40"/>
      <c r="F70" s="40"/>
      <c r="G70" s="40"/>
      <c t="s" r="H70" s="39">
        <v>168</v>
      </c>
      <c r="I70" s="40"/>
      <c r="J70" s="41">
        <v>1</v>
      </c>
      <c r="K70" s="42">
        <v>2501</v>
      </c>
      <c r="L70" s="43">
        <v>0</v>
      </c>
    </row>
    <row r="71" ht="25.5" customHeight="1">
      <c t="s" r="A71" s="38">
        <v>46</v>
      </c>
      <c t="s" r="B71" s="39">
        <v>47</v>
      </c>
      <c r="C71" s="40"/>
      <c t="s" r="D71" s="39">
        <v>48</v>
      </c>
      <c r="E71" s="40"/>
      <c r="F71" s="40"/>
      <c r="G71" s="40"/>
      <c t="s" r="H71" s="39">
        <v>49</v>
      </c>
      <c r="I71" s="40"/>
      <c r="J71" s="41">
        <v>1</v>
      </c>
      <c r="K71" s="42">
        <v>192</v>
      </c>
      <c r="L71" s="43">
        <v>0</v>
      </c>
    </row>
    <row r="72" ht="25.5" customHeight="1">
      <c t="s" r="A72" s="38">
        <v>50</v>
      </c>
      <c t="s" r="B72" s="39">
        <v>169</v>
      </c>
      <c r="C72" s="40"/>
      <c t="s" r="D72" s="39">
        <v>170</v>
      </c>
      <c r="E72" s="40"/>
      <c r="F72" s="40"/>
      <c r="G72" s="40"/>
      <c t="s" r="H72" s="39">
        <v>171</v>
      </c>
      <c r="I72" s="40"/>
      <c r="J72" s="44">
        <v>7</v>
      </c>
      <c r="K72" s="42">
        <v>868</v>
      </c>
      <c r="L72" s="43">
        <v>0</v>
      </c>
    </row>
    <row r="73" ht="25.5" customHeight="1">
      <c t="s" r="A73" s="38">
        <v>54</v>
      </c>
      <c t="s" r="B73" s="39">
        <v>55</v>
      </c>
      <c r="C73" s="40"/>
      <c t="s" r="D73" s="39">
        <v>56</v>
      </c>
      <c r="E73" s="40"/>
      <c r="F73" s="40"/>
      <c r="G73" s="40"/>
      <c t="s" r="H73" s="39">
        <v>57</v>
      </c>
      <c r="I73" s="40"/>
      <c r="J73" s="41">
        <v>4</v>
      </c>
      <c r="K73" s="42">
        <v>616</v>
      </c>
      <c r="L73" s="43">
        <v>0</v>
      </c>
    </row>
    <row r="74" ht="25.5" customHeight="1">
      <c t="s" r="A74" s="38">
        <v>58</v>
      </c>
      <c t="s" r="B74" s="39">
        <v>59</v>
      </c>
      <c r="C74" s="40"/>
      <c t="s" r="D74" s="39">
        <v>60</v>
      </c>
      <c r="E74" s="40"/>
      <c r="F74" s="40"/>
      <c r="G74" s="40"/>
      <c t="s" r="H74" s="39">
        <v>61</v>
      </c>
      <c r="I74" s="40"/>
      <c r="J74" s="41">
        <v>4</v>
      </c>
      <c r="K74" s="42">
        <v>404</v>
      </c>
      <c r="L74" s="43">
        <v>0</v>
      </c>
    </row>
    <row r="75" ht="25.5" customHeight="1">
      <c t="s" r="A75" s="38">
        <v>62</v>
      </c>
      <c t="s" r="B75" s="39">
        <v>172</v>
      </c>
      <c r="C75" s="40"/>
      <c t="s" r="D75" s="39">
        <v>173</v>
      </c>
      <c r="E75" s="40"/>
      <c r="F75" s="40"/>
      <c r="G75" s="40"/>
      <c t="s" r="H75" s="39">
        <v>174</v>
      </c>
      <c r="I75" s="40"/>
      <c r="J75" s="41">
        <v>6</v>
      </c>
      <c r="K75" s="42">
        <v>2604</v>
      </c>
      <c r="L75" s="43">
        <v>0</v>
      </c>
    </row>
    <row r="76" ht="25.5" customHeight="1">
      <c t="s" r="A76" s="38">
        <v>66</v>
      </c>
      <c t="s" r="B76" s="39">
        <v>175</v>
      </c>
      <c r="C76" s="40"/>
      <c t="s" r="D76" s="39">
        <v>176</v>
      </c>
      <c r="E76" s="40"/>
      <c r="F76" s="40"/>
      <c r="G76" s="40"/>
      <c t="s" r="H76" s="39">
        <v>177</v>
      </c>
      <c r="I76" s="40"/>
      <c r="J76" s="44">
        <v>1</v>
      </c>
      <c r="K76" s="42">
        <v>378</v>
      </c>
      <c r="L76" s="43">
        <v>0</v>
      </c>
    </row>
    <row r="77" ht="25.5" customHeight="1">
      <c t="s" r="A77" s="38">
        <v>70</v>
      </c>
      <c t="s" r="B77" s="39">
        <v>178</v>
      </c>
      <c r="C77" s="40"/>
      <c t="s" r="D77" s="39">
        <v>179</v>
      </c>
      <c r="E77" s="40"/>
      <c r="F77" s="40"/>
      <c r="G77" s="40"/>
      <c t="s" r="H77" s="39">
        <v>180</v>
      </c>
      <c r="I77" s="40"/>
      <c r="J77" s="41">
        <v>1</v>
      </c>
      <c r="K77" s="42">
        <v>339</v>
      </c>
      <c r="L77" s="43">
        <v>0</v>
      </c>
    </row>
    <row r="78" ht="25.5" customHeight="1">
      <c t="s" r="A78" s="38">
        <v>74</v>
      </c>
      <c t="s" r="B78" s="39">
        <v>181</v>
      </c>
      <c r="C78" s="40"/>
      <c t="s" r="D78" s="39">
        <v>182</v>
      </c>
      <c r="E78" s="40"/>
      <c r="F78" s="40"/>
      <c r="G78" s="40"/>
      <c t="s" r="H78" s="39">
        <v>183</v>
      </c>
      <c r="I78" s="40"/>
      <c r="J78" s="44">
        <v>24</v>
      </c>
      <c r="K78" s="42">
        <v>504</v>
      </c>
      <c r="L78" s="43">
        <v>0</v>
      </c>
    </row>
    <row r="79" ht="25.5" customHeight="1">
      <c t="s" r="A79" s="38">
        <v>78</v>
      </c>
      <c t="s" r="B79" s="39">
        <v>103</v>
      </c>
      <c r="C79" s="40"/>
      <c t="s" r="D79" s="39">
        <v>104</v>
      </c>
      <c r="E79" s="40"/>
      <c r="F79" s="40"/>
      <c r="G79" s="40"/>
      <c t="s" r="H79" s="39">
        <v>105</v>
      </c>
      <c r="I79" s="40"/>
      <c r="J79" s="44">
        <v>5</v>
      </c>
      <c r="K79" s="42">
        <v>500</v>
      </c>
      <c r="L79" s="43">
        <v>0.10000000000000001</v>
      </c>
    </row>
    <row r="80" ht="25.5" customHeight="1">
      <c t="s" r="A80" s="38">
        <v>82</v>
      </c>
      <c t="s" r="B80" s="39">
        <v>184</v>
      </c>
      <c r="C80" s="40"/>
      <c t="s" r="D80" s="39">
        <v>185</v>
      </c>
      <c r="E80" s="40"/>
      <c r="F80" s="40"/>
      <c r="G80" s="40"/>
      <c t="s" r="H80" s="39">
        <v>186</v>
      </c>
      <c r="I80" s="40"/>
      <c r="J80" s="41">
        <v>2</v>
      </c>
      <c r="K80" s="42">
        <v>1240</v>
      </c>
      <c r="L80" s="43">
        <v>0.54000000000000004</v>
      </c>
    </row>
    <row r="81" ht="25.5" customHeight="1">
      <c t="s" r="A81" s="38">
        <v>86</v>
      </c>
      <c t="s" r="B81" s="39">
        <v>79</v>
      </c>
      <c r="C81" s="40"/>
      <c t="s" r="D81" s="39">
        <v>80</v>
      </c>
      <c r="E81" s="40"/>
      <c r="F81" s="40"/>
      <c r="G81" s="40"/>
      <c t="s" r="H81" s="39">
        <v>81</v>
      </c>
      <c r="I81" s="40"/>
      <c r="J81" s="41">
        <v>1</v>
      </c>
      <c r="K81" s="42">
        <v>199</v>
      </c>
      <c r="L81" s="43">
        <v>0.16</v>
      </c>
    </row>
    <row r="82" ht="25.5" customHeight="1">
      <c t="s" r="A82" s="38">
        <v>90</v>
      </c>
      <c t="s" r="B82" s="39">
        <v>123</v>
      </c>
      <c r="C82" s="40"/>
      <c t="s" r="D82" s="39">
        <v>124</v>
      </c>
      <c r="E82" s="40"/>
      <c r="F82" s="40"/>
      <c r="G82" s="40"/>
      <c t="s" r="H82" s="39">
        <v>125</v>
      </c>
      <c r="I82" s="40"/>
      <c r="J82" s="41">
        <v>10</v>
      </c>
      <c r="K82" s="42">
        <v>17410</v>
      </c>
      <c r="L82" s="43">
        <v>2.7000000000000002</v>
      </c>
    </row>
    <row r="83" ht="25.5" customHeight="1">
      <c t="s" r="A83" s="38">
        <v>94</v>
      </c>
      <c t="s" r="B83" s="39">
        <v>87</v>
      </c>
      <c r="C83" s="40"/>
      <c t="s" r="D83" s="39">
        <v>88</v>
      </c>
      <c r="E83" s="40"/>
      <c r="F83" s="40"/>
      <c r="G83" s="40"/>
      <c t="s" r="H83" s="39">
        <v>89</v>
      </c>
      <c r="I83" s="40"/>
      <c r="J83" s="41">
        <v>3</v>
      </c>
      <c r="K83" s="42">
        <v>1797</v>
      </c>
      <c r="L83" s="43">
        <v>1.4399999999999999</v>
      </c>
    </row>
    <row r="84" ht="25.5" customHeight="1">
      <c t="s" r="A84" s="38">
        <v>98</v>
      </c>
      <c t="s" r="B84" s="39">
        <v>119</v>
      </c>
      <c r="C84" s="40"/>
      <c t="s" r="D84" s="39">
        <v>120</v>
      </c>
      <c r="E84" s="40"/>
      <c r="F84" s="40"/>
      <c r="G84" s="40"/>
      <c t="s" r="H84" s="39">
        <v>121</v>
      </c>
      <c r="I84" s="40"/>
      <c r="J84" s="41">
        <v>4</v>
      </c>
      <c r="K84" s="42">
        <v>7972</v>
      </c>
      <c r="L84" s="43">
        <v>1.0800000000000001</v>
      </c>
    </row>
    <row r="85" ht="25.5" customHeight="1">
      <c t="s" r="A85" s="38">
        <v>102</v>
      </c>
      <c t="s" r="B85" s="39">
        <v>187</v>
      </c>
      <c r="C85" s="40"/>
      <c t="s" r="D85" s="39">
        <v>188</v>
      </c>
      <c r="E85" s="40"/>
      <c r="F85" s="40"/>
      <c r="G85" s="40"/>
      <c t="s" r="H85" s="39">
        <v>189</v>
      </c>
      <c r="I85" s="40"/>
      <c r="J85" s="41">
        <v>3</v>
      </c>
      <c r="K85" s="42">
        <v>4779</v>
      </c>
      <c r="L85" s="43">
        <v>1.29</v>
      </c>
    </row>
    <row r="86" ht="25.5" customHeight="1">
      <c t="s" r="A86" s="38">
        <v>106</v>
      </c>
      <c t="s" r="B86" s="39">
        <v>135</v>
      </c>
      <c r="C86" s="40"/>
      <c t="s" r="D86" s="39">
        <v>136</v>
      </c>
      <c r="E86" s="40"/>
      <c r="F86" s="40"/>
      <c r="G86" s="40"/>
      <c t="s" r="H86" s="39">
        <v>137</v>
      </c>
      <c r="I86" s="40"/>
      <c r="J86" s="44">
        <v>13</v>
      </c>
      <c r="K86" s="42">
        <v>7943</v>
      </c>
      <c r="L86" s="43">
        <v>2.4700000000000002</v>
      </c>
    </row>
    <row r="87" ht="25.5" customHeight="1">
      <c t="s" r="A87" s="38">
        <v>110</v>
      </c>
      <c t="s" r="B87" s="39">
        <v>131</v>
      </c>
      <c r="C87" s="40"/>
      <c t="s" r="D87" s="39">
        <v>132</v>
      </c>
      <c r="E87" s="40"/>
      <c r="F87" s="40"/>
      <c r="G87" s="40"/>
      <c t="s" r="H87" s="39">
        <v>133</v>
      </c>
      <c r="I87" s="40"/>
      <c r="J87" s="41">
        <v>3</v>
      </c>
      <c r="K87" s="42">
        <v>1740</v>
      </c>
      <c r="L87" s="43">
        <v>0.89999999999999991</v>
      </c>
    </row>
    <row r="88" ht="25.5" customHeight="1">
      <c t="s" r="A88" s="38">
        <v>114</v>
      </c>
      <c t="s" r="B88" s="39">
        <v>190</v>
      </c>
      <c r="C88" s="40"/>
      <c t="s" r="D88" s="39">
        <v>191</v>
      </c>
      <c r="E88" s="40"/>
      <c r="F88" s="40"/>
      <c r="G88" s="40"/>
      <c t="s" r="H88" s="39">
        <v>192</v>
      </c>
      <c r="I88" s="40"/>
      <c r="J88" s="41">
        <v>2</v>
      </c>
      <c r="K88" s="42">
        <v>888</v>
      </c>
      <c r="L88" s="43">
        <v>0.81999999999999995</v>
      </c>
    </row>
    <row r="89">
      <c r="A89" s="22"/>
      <c r="B89" s="24"/>
      <c r="C89" s="24"/>
      <c r="D89" s="24"/>
      <c r="E89" s="24"/>
      <c r="F89" s="24"/>
      <c r="G89" s="24"/>
      <c r="H89" s="24"/>
      <c r="I89" s="24"/>
      <c r="J89" s="24"/>
      <c r="K89" s="45">
        <f>SUM(K68:K88)</f>
      </c>
      <c r="L89" s="46">
        <f>SUM(L68:L88)</f>
      </c>
    </row>
    <row r="90">
      <c t="s" r="A90" s="35">
        <v>193</v>
      </c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7"/>
    </row>
    <row r="91" ht="25.5" customHeight="1">
      <c t="s" r="A91" s="38">
        <v>34</v>
      </c>
      <c t="s" r="B91" s="39">
        <v>194</v>
      </c>
      <c r="C91" s="40"/>
      <c t="s" r="D91" s="39">
        <v>195</v>
      </c>
      <c r="E91" s="40"/>
      <c r="F91" s="40"/>
      <c r="G91" s="40"/>
      <c t="s" r="H91" s="39">
        <v>196</v>
      </c>
      <c r="I91" s="40"/>
      <c r="J91" s="41">
        <v>1</v>
      </c>
      <c r="K91" s="42">
        <v>4181</v>
      </c>
      <c r="L91" s="43">
        <v>0</v>
      </c>
    </row>
    <row r="92" ht="25.5" customHeight="1">
      <c t="s" r="A92" s="38">
        <v>38</v>
      </c>
      <c t="s" r="B92" s="39">
        <v>163</v>
      </c>
      <c r="C92" s="40"/>
      <c t="s" r="D92" s="39">
        <v>164</v>
      </c>
      <c r="E92" s="40"/>
      <c r="F92" s="40"/>
      <c r="G92" s="40"/>
      <c t="s" r="H92" s="39">
        <v>165</v>
      </c>
      <c r="I92" s="40"/>
      <c r="J92" s="41">
        <v>1</v>
      </c>
      <c r="K92" s="42">
        <v>1142</v>
      </c>
      <c r="L92" s="43">
        <v>0</v>
      </c>
    </row>
    <row r="93" ht="25.5" customHeight="1">
      <c t="s" r="A93" s="38">
        <v>42</v>
      </c>
      <c t="s" r="B93" s="39">
        <v>197</v>
      </c>
      <c r="C93" s="40"/>
      <c t="s" r="D93" s="39">
        <v>198</v>
      </c>
      <c r="E93" s="40"/>
      <c r="F93" s="40"/>
      <c r="G93" s="40"/>
      <c t="s" r="H93" s="39">
        <v>199</v>
      </c>
      <c r="I93" s="40"/>
      <c r="J93" s="41">
        <v>1</v>
      </c>
      <c r="K93" s="42">
        <v>3704</v>
      </c>
      <c r="L93" s="43">
        <v>0</v>
      </c>
    </row>
    <row r="94" ht="25.5" customHeight="1">
      <c t="s" r="A94" s="38">
        <v>46</v>
      </c>
      <c t="s" r="B94" s="39">
        <v>200</v>
      </c>
      <c r="C94" s="40"/>
      <c t="s" r="D94" s="39">
        <v>201</v>
      </c>
      <c r="E94" s="40"/>
      <c r="F94" s="40"/>
      <c r="G94" s="40"/>
      <c t="s" r="H94" s="39">
        <v>202</v>
      </c>
      <c r="I94" s="40"/>
      <c r="J94" s="44">
        <v>7</v>
      </c>
      <c r="K94" s="42">
        <v>637</v>
      </c>
      <c r="L94" s="43">
        <v>0</v>
      </c>
    </row>
    <row r="95" ht="25.5" customHeight="1">
      <c t="s" r="A95" s="38">
        <v>50</v>
      </c>
      <c t="s" r="B95" s="39">
        <v>55</v>
      </c>
      <c r="C95" s="40"/>
      <c t="s" r="D95" s="39">
        <v>56</v>
      </c>
      <c r="E95" s="40"/>
      <c r="F95" s="40"/>
      <c r="G95" s="40"/>
      <c t="s" r="H95" s="39">
        <v>57</v>
      </c>
      <c r="I95" s="40"/>
      <c r="J95" s="41">
        <v>4</v>
      </c>
      <c r="K95" s="42">
        <v>616</v>
      </c>
      <c r="L95" s="43">
        <v>0</v>
      </c>
    </row>
    <row r="96" ht="25.5" customHeight="1">
      <c t="s" r="A96" s="38">
        <v>54</v>
      </c>
      <c t="s" r="B96" s="39">
        <v>59</v>
      </c>
      <c r="C96" s="40"/>
      <c t="s" r="D96" s="39">
        <v>60</v>
      </c>
      <c r="E96" s="40"/>
      <c r="F96" s="40"/>
      <c r="G96" s="40"/>
      <c t="s" r="H96" s="39">
        <v>61</v>
      </c>
      <c r="I96" s="40"/>
      <c r="J96" s="41">
        <v>4</v>
      </c>
      <c r="K96" s="42">
        <v>404</v>
      </c>
      <c r="L96" s="43">
        <v>0</v>
      </c>
    </row>
    <row r="97" ht="25.5" customHeight="1">
      <c t="s" r="A97" s="38">
        <v>58</v>
      </c>
      <c t="s" r="B97" s="39">
        <v>203</v>
      </c>
      <c r="C97" s="40"/>
      <c t="s" r="D97" s="39">
        <v>204</v>
      </c>
      <c r="E97" s="40"/>
      <c r="F97" s="40"/>
      <c r="G97" s="40"/>
      <c t="s" r="H97" s="39">
        <v>205</v>
      </c>
      <c r="I97" s="40"/>
      <c r="J97" s="41">
        <v>7</v>
      </c>
      <c r="K97" s="42">
        <v>1960</v>
      </c>
      <c r="L97" s="43">
        <v>0</v>
      </c>
    </row>
    <row r="98" ht="25.5" customHeight="1">
      <c t="s" r="A98" s="38">
        <v>62</v>
      </c>
      <c t="s" r="B98" s="39">
        <v>206</v>
      </c>
      <c r="C98" s="40"/>
      <c t="s" r="D98" s="39">
        <v>207</v>
      </c>
      <c r="E98" s="40"/>
      <c r="F98" s="40"/>
      <c r="G98" s="40"/>
      <c t="s" r="H98" s="39">
        <v>208</v>
      </c>
      <c r="I98" s="40"/>
      <c r="J98" s="41">
        <v>1</v>
      </c>
      <c r="K98" s="42">
        <v>243</v>
      </c>
      <c r="L98" s="43">
        <v>0</v>
      </c>
    </row>
    <row r="99">
      <c r="A99" s="22"/>
      <c r="B99" s="24"/>
      <c r="C99" s="24"/>
      <c r="D99" s="24"/>
      <c r="E99" s="24"/>
      <c r="F99" s="24"/>
      <c r="G99" s="24"/>
      <c r="H99" s="24"/>
      <c r="I99" s="24"/>
      <c r="J99" s="24"/>
      <c r="K99" s="45">
        <f>SUM(K91:K98)</f>
      </c>
      <c r="L99" s="46">
        <f>SUM(L91:L98)</f>
      </c>
    </row>
    <row r="100" ht="21" customHeight="1">
      <c r="A100" s="47"/>
      <c t="s" r="B100" s="48">
        <v>209</v>
      </c>
      <c r="C100" s="49"/>
      <c r="D100" s="49"/>
      <c r="E100" s="49"/>
      <c r="F100" s="49"/>
      <c r="G100" s="49"/>
      <c r="H100" s="49"/>
      <c r="I100" s="49"/>
      <c r="J100" s="49"/>
      <c r="K100" s="50">
        <f>SUM(K28:K99)/2</f>
      </c>
      <c r="L100" s="51">
        <f>SUM(L28:L99)/2</f>
      </c>
    </row>
    <row r="101">
      <c r="A101" s="52"/>
      <c t="s" r="B101" s="53">
        <v>210</v>
      </c>
      <c r="C101" s="53"/>
      <c r="D101" s="53"/>
      <c r="E101" s="53"/>
      <c r="F101" s="53"/>
      <c r="G101" s="53"/>
      <c r="H101" s="53"/>
      <c r="I101" s="53"/>
      <c r="J101" s="53"/>
      <c r="K101" s="54">
        <f>K100*(21/100)</f>
      </c>
      <c r="L101" s="55">
        <f>L100*(21/100)</f>
      </c>
    </row>
    <row r="102">
      <c r="A102" s="52"/>
      <c t="s" r="B102" s="56">
        <v>211</v>
      </c>
      <c r="C102" s="53"/>
      <c r="D102" s="53"/>
      <c r="E102" s="53"/>
      <c r="F102" s="53"/>
      <c r="G102" s="53"/>
      <c r="H102" s="53"/>
      <c r="I102" s="53"/>
      <c r="J102" s="53"/>
      <c r="K102" s="57">
        <f>K100+K101</f>
      </c>
      <c r="L102" s="58">
        <f>L100+L101</f>
      </c>
    </row>
    <row r="104">
      <c t="s" r="A104" s="1">
        <v>212</v>
      </c>
    </row>
    <row r="105">
      <c t="s" r="A105" s="1">
        <v>213</v>
      </c>
    </row>
  </sheetData>
  <mergeCells count="198">
    <mergeCell ref="B26:C26"/>
    <mergeCell ref="D26:G26"/>
    <mergeCell ref="H26:I26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C33"/>
    <mergeCell ref="D33:G33"/>
    <mergeCell ref="H33:I33"/>
    <mergeCell ref="B34:C34"/>
    <mergeCell ref="D34:G34"/>
    <mergeCell ref="H34:I34"/>
    <mergeCell ref="B35:C35"/>
    <mergeCell ref="D35:G35"/>
    <mergeCell ref="H35:I35"/>
    <mergeCell ref="B36:C36"/>
    <mergeCell ref="D36:G36"/>
    <mergeCell ref="H36:I36"/>
    <mergeCell ref="B37:C37"/>
    <mergeCell ref="D37:G37"/>
    <mergeCell ref="H37:I37"/>
    <mergeCell ref="B38:C38"/>
    <mergeCell ref="D38:G38"/>
    <mergeCell ref="H38:I38"/>
    <mergeCell ref="B39:C39"/>
    <mergeCell ref="D39:G39"/>
    <mergeCell ref="H39:I39"/>
    <mergeCell ref="B40:C40"/>
    <mergeCell ref="D40:G40"/>
    <mergeCell ref="H40:I40"/>
    <mergeCell ref="B41:C41"/>
    <mergeCell ref="D41:G41"/>
    <mergeCell ref="H41:I41"/>
    <mergeCell ref="B42:C42"/>
    <mergeCell ref="D42:G42"/>
    <mergeCell ref="H42:I42"/>
    <mergeCell ref="B43:C43"/>
    <mergeCell ref="D43:G43"/>
    <mergeCell ref="H43:I43"/>
    <mergeCell ref="B44:C44"/>
    <mergeCell ref="D44:G44"/>
    <mergeCell ref="H44:I44"/>
    <mergeCell ref="B45:C45"/>
    <mergeCell ref="D45:G45"/>
    <mergeCell ref="H45:I45"/>
    <mergeCell ref="B46:C46"/>
    <mergeCell ref="D46:G46"/>
    <mergeCell ref="H46:I46"/>
    <mergeCell ref="B47:C47"/>
    <mergeCell ref="D47:G47"/>
    <mergeCell ref="H47:I47"/>
    <mergeCell ref="B48:C48"/>
    <mergeCell ref="D48:G48"/>
    <mergeCell ref="H48:I48"/>
    <mergeCell ref="B49:C49"/>
    <mergeCell ref="D49:G49"/>
    <mergeCell ref="H49:I49"/>
    <mergeCell ref="B50:C50"/>
    <mergeCell ref="D50:G50"/>
    <mergeCell ref="H50:I50"/>
    <mergeCell ref="B51:C51"/>
    <mergeCell ref="D51:G51"/>
    <mergeCell ref="H51:I51"/>
    <mergeCell ref="B52:C52"/>
    <mergeCell ref="D52:G52"/>
    <mergeCell ref="H52:I52"/>
    <mergeCell ref="B53:C53"/>
    <mergeCell ref="D53:G53"/>
    <mergeCell ref="H53:I53"/>
    <mergeCell ref="B54:C54"/>
    <mergeCell ref="D54:G54"/>
    <mergeCell ref="H54:I54"/>
    <mergeCell ref="B55:C55"/>
    <mergeCell ref="D55:G55"/>
    <mergeCell ref="H55:I55"/>
    <mergeCell ref="B58:C58"/>
    <mergeCell ref="D58:G58"/>
    <mergeCell ref="H58:I58"/>
    <mergeCell ref="B59:C59"/>
    <mergeCell ref="D59:G59"/>
    <mergeCell ref="H59:I59"/>
    <mergeCell ref="B60:C60"/>
    <mergeCell ref="D60:G60"/>
    <mergeCell ref="H60:I60"/>
    <mergeCell ref="B61:C61"/>
    <mergeCell ref="D61:G61"/>
    <mergeCell ref="H61:I61"/>
    <mergeCell ref="B62:C62"/>
    <mergeCell ref="D62:G62"/>
    <mergeCell ref="H62:I62"/>
    <mergeCell ref="B63:C63"/>
    <mergeCell ref="D63:G63"/>
    <mergeCell ref="H63:I63"/>
    <mergeCell ref="B64:C64"/>
    <mergeCell ref="D64:G64"/>
    <mergeCell ref="H64:I64"/>
    <mergeCell ref="B65:C65"/>
    <mergeCell ref="D65:G65"/>
    <mergeCell ref="H65:I65"/>
    <mergeCell ref="B68:C68"/>
    <mergeCell ref="D68:G68"/>
    <mergeCell ref="H68:I68"/>
    <mergeCell ref="B69:C69"/>
    <mergeCell ref="D69:G69"/>
    <mergeCell ref="H69:I69"/>
    <mergeCell ref="B70:C70"/>
    <mergeCell ref="D70:G70"/>
    <mergeCell ref="H70:I70"/>
    <mergeCell ref="B71:C71"/>
    <mergeCell ref="D71:G71"/>
    <mergeCell ref="H71:I71"/>
    <mergeCell ref="B72:C72"/>
    <mergeCell ref="D72:G72"/>
    <mergeCell ref="H72:I72"/>
    <mergeCell ref="B73:C73"/>
    <mergeCell ref="D73:G73"/>
    <mergeCell ref="H73:I73"/>
    <mergeCell ref="B74:C74"/>
    <mergeCell ref="D74:G74"/>
    <mergeCell ref="H74:I74"/>
    <mergeCell ref="B75:C75"/>
    <mergeCell ref="D75:G75"/>
    <mergeCell ref="H75:I75"/>
    <mergeCell ref="B76:C76"/>
    <mergeCell ref="D76:G76"/>
    <mergeCell ref="H76:I76"/>
    <mergeCell ref="B77:C77"/>
    <mergeCell ref="D77:G77"/>
    <mergeCell ref="H77:I77"/>
    <mergeCell ref="B78:C78"/>
    <mergeCell ref="D78:G78"/>
    <mergeCell ref="H78:I78"/>
    <mergeCell ref="B79:C79"/>
    <mergeCell ref="D79:G79"/>
    <mergeCell ref="H79:I79"/>
    <mergeCell ref="B80:C80"/>
    <mergeCell ref="D80:G80"/>
    <mergeCell ref="H80:I80"/>
    <mergeCell ref="B81:C81"/>
    <mergeCell ref="D81:G81"/>
    <mergeCell ref="H81:I81"/>
    <mergeCell ref="B82:C82"/>
    <mergeCell ref="D82:G82"/>
    <mergeCell ref="H82:I82"/>
    <mergeCell ref="B83:C83"/>
    <mergeCell ref="D83:G83"/>
    <mergeCell ref="H83:I83"/>
    <mergeCell ref="B84:C84"/>
    <mergeCell ref="D84:G84"/>
    <mergeCell ref="H84:I84"/>
    <mergeCell ref="B85:C85"/>
    <mergeCell ref="D85:G85"/>
    <mergeCell ref="H85:I85"/>
    <mergeCell ref="B86:C86"/>
    <mergeCell ref="D86:G86"/>
    <mergeCell ref="H86:I86"/>
    <mergeCell ref="B87:C87"/>
    <mergeCell ref="D87:G87"/>
    <mergeCell ref="H87:I87"/>
    <mergeCell ref="B88:C88"/>
    <mergeCell ref="D88:G88"/>
    <mergeCell ref="H88:I88"/>
    <mergeCell ref="B91:C91"/>
    <mergeCell ref="D91:G91"/>
    <mergeCell ref="H91:I91"/>
    <mergeCell ref="B92:C92"/>
    <mergeCell ref="D92:G92"/>
    <mergeCell ref="H92:I92"/>
    <mergeCell ref="B93:C93"/>
    <mergeCell ref="D93:G93"/>
    <mergeCell ref="H93:I93"/>
    <mergeCell ref="B94:C94"/>
    <mergeCell ref="D94:G94"/>
    <mergeCell ref="H94:I94"/>
    <mergeCell ref="B95:C95"/>
    <mergeCell ref="D95:G95"/>
    <mergeCell ref="H95:I95"/>
    <mergeCell ref="B96:C96"/>
    <mergeCell ref="D96:G96"/>
    <mergeCell ref="H96:I96"/>
    <mergeCell ref="B97:C97"/>
    <mergeCell ref="D97:G97"/>
    <mergeCell ref="H97:I97"/>
    <mergeCell ref="B98:C98"/>
    <mergeCell ref="D98:G98"/>
    <mergeCell ref="H98:I98"/>
  </mergeCells>
  <pageMargins left="0.275590551181102" right="0.196850393700787" top="0.590551181102362" bottom="0.590551181102362" header="0.275590551181102" footer="0.275590551181102"/>
  <pageSetup paperSize="9" orientation="portrait" scale="60"/>
  <headerFooter>
    <oddFooter xml:space="preserve">&amp;LDatum tisku  &amp;D&amp;RStrana  &amp;P/&amp;N</oddFooter>
  </headerFooter>
  <ignoredErrors>
    <ignoredError sqref="A1:L105" numberStoredAsText="1"/>
  </ignoredErrors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Rozpiska: CENOVÁ INFORMACE ()</dc:title>
  <dc:creator>Elprojekt, Pavel Šupík</dc:creator>
  <dc:description>E-CONFIG 3.13.5 , Databáze: 2024.09.01</dc:description>
  <cp:lastModifiedBy>Elprojekt, Pavel Šupík</cp:lastModifiedBy>
  <dcterms:created xsi:type="dcterms:W3CDTF">2024-10-22T12:42:15Z</dcterms:created>
  <dcterms:modified xsi:type="dcterms:W3CDTF">2024-10-22T12:42:15Z</dcterms:modified>
</cp:coreProperties>
</file>